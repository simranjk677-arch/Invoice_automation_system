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74c3fb4d01f9e0/Desktop/autoamtion_invoice/"/>
    </mc:Choice>
  </mc:AlternateContent>
  <xr:revisionPtr revIDLastSave="22" documentId="8_{3525D4D0-C99E-4122-92BC-7A62E0BA8694}" xr6:coauthVersionLast="47" xr6:coauthVersionMax="47" xr10:uidLastSave="{0E00F55B-F992-45A2-B9BC-C1BF7DFB9F81}"/>
  <bookViews>
    <workbookView xWindow="-110" yWindow="-110" windowWidth="19420" windowHeight="11500" activeTab="2" xr2:uid="{3EC33F43-6CE9-46EA-AE1D-680E1A3B5AFA}"/>
  </bookViews>
  <sheets>
    <sheet name="AUTOMATIC" sheetId="11" r:id="rId1"/>
    <sheet name="products" sheetId="17" r:id="rId2"/>
    <sheet name="Query1" sheetId="14" r:id="rId3"/>
    <sheet name="Invoice 1" sheetId="1" r:id="rId4"/>
    <sheet name="Invoice 4" sheetId="4" r:id="rId5"/>
    <sheet name="Invoice 2" sheetId="2" r:id="rId6"/>
    <sheet name="Invoice 3" sheetId="3" r:id="rId7"/>
    <sheet name="Invoice 5" sheetId="5" r:id="rId8"/>
    <sheet name="Invoice 6" sheetId="6" r:id="rId9"/>
    <sheet name="Invoice 7" sheetId="7" r:id="rId10"/>
    <sheet name="Invoice 9" sheetId="9" r:id="rId11"/>
    <sheet name="Invoice 10" sheetId="10" r:id="rId12"/>
  </sheets>
  <definedNames>
    <definedName name="ExternalData_1" localSheetId="1" hidden="1">products!$A$1:$F$28</definedName>
    <definedName name="ExternalData_1" localSheetId="2" hidden="1">Query1!$A$1:$E$21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1" l="1"/>
  <c r="E17" i="11" s="1"/>
  <c r="C18" i="11"/>
  <c r="E18" i="11" s="1"/>
  <c r="C19" i="11"/>
  <c r="E19" i="11" s="1"/>
  <c r="B12" i="11"/>
  <c r="B11" i="11"/>
  <c r="B10" i="11"/>
  <c r="E21" i="11" l="1"/>
  <c r="E23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88BBEE-1813-4434-A93D-4E6D4B6CA59C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212241FB-96DA-4643-81ED-84011677AF55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<sst xmlns="http://schemas.openxmlformats.org/spreadsheetml/2006/main" count="395" uniqueCount="49">
  <si>
    <t>GlobalTech Exports Ltd</t>
  </si>
  <si>
    <t>New York, USA</t>
  </si>
  <si>
    <t>COMMERCIAL INVOICE</t>
  </si>
  <si>
    <t>Buyer/Consignee:</t>
  </si>
  <si>
    <t>EuroTrade GmbH, Berlin, Germany</t>
  </si>
  <si>
    <t>Detail</t>
  </si>
  <si>
    <t>Value</t>
  </si>
  <si>
    <t>Invoice Number</t>
  </si>
  <si>
    <t>GTX-INV-1001</t>
  </si>
  <si>
    <t>Date of Issue</t>
  </si>
  <si>
    <t>Buyer</t>
  </si>
  <si>
    <t>EuroTrade GmbH</t>
  </si>
  <si>
    <t>Currency</t>
  </si>
  <si>
    <t>USD</t>
  </si>
  <si>
    <t>Terms of Trade</t>
  </si>
  <si>
    <t>FOB (Free On Board)</t>
  </si>
  <si>
    <t>Description of Goods</t>
  </si>
  <si>
    <t>Harmonized System (HS) Code</t>
  </si>
  <si>
    <t>Quantity</t>
  </si>
  <si>
    <t>Unit Price (USD)</t>
  </si>
  <si>
    <t>Total Price (USD)</t>
  </si>
  <si>
    <t>24-inch LED Monitor</t>
  </si>
  <si>
    <t>Wireless Keyboard</t>
  </si>
  <si>
    <t>64GB USB Flash Drive</t>
  </si>
  <si>
    <t>Financial Summary</t>
  </si>
  <si>
    <t>Amount (USD)</t>
  </si>
  <si>
    <t>Subtotal Value of Goods</t>
  </si>
  <si>
    <t>Shipping and Handling Charges</t>
  </si>
  <si>
    <t>Grand Total Amount Due</t>
  </si>
  <si>
    <t>Global Trade Solutions Ltd. (UK)</t>
  </si>
  <si>
    <t>Atlantic Import &amp; Export Inc. (USA)</t>
  </si>
  <si>
    <t>Nordic Supply Chain AB (Sweden)</t>
  </si>
  <si>
    <t>EuroLink Distributors GmbH (Germany)</t>
  </si>
  <si>
    <t>Pacific Horizon Imports Co. (Australia)</t>
  </si>
  <si>
    <t>Maple Leaf Importers Ltd. (Canada)</t>
  </si>
  <si>
    <t>Blue Ocean Imports Pvt. Ltd. (Singapore)</t>
  </si>
  <si>
    <t>Andes Global Imports S.A. (Chile)</t>
  </si>
  <si>
    <t>GTX-INV-1002</t>
  </si>
  <si>
    <t>GTX-INV-1003</t>
  </si>
  <si>
    <t>GTX-INV-1004</t>
  </si>
  <si>
    <t>GTX-INV-1005</t>
  </si>
  <si>
    <t>GTX-INV-1006</t>
  </si>
  <si>
    <t>GTX-INV-1007</t>
  </si>
  <si>
    <t>GTX-INV-1009</t>
  </si>
  <si>
    <t>GTX-INV-1010</t>
  </si>
  <si>
    <t>Name</t>
  </si>
  <si>
    <t>NEW YORK, USA</t>
  </si>
  <si>
    <t>GTX-INV-1011</t>
  </si>
  <si>
    <t>Denial (Dnmark)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</si>
</sst>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4" x14ac:knownFonts="1">
    <font>
      <sz val="11"/>
      <color theme="1"/>
      <name val="Aptos Narrow"/>
      <family val="2"/>
      <scheme val="minor"/>
    </font>
    <font>
      <b/>
      <sz val="13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6"/>
      <color theme="0"/>
      <name val="Arial"/>
      <family val="2"/>
    </font>
    <font>
      <b/>
      <sz val="9"/>
      <color rgb="FF000000"/>
      <name val="Arial"/>
      <family val="2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5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0" fillId="0" borderId="0" xfId="0" applyNumberFormat="1"/>
    <xf numFmtId="0" fontId="4" fillId="0" borderId="2" xfId="0" applyFont="1" applyBorder="1" applyAlignment="1">
      <alignment vertical="center" wrapText="1"/>
    </xf>
    <xf numFmtId="4" fontId="4" fillId="0" borderId="5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" fontId="4" fillId="0" borderId="8" xfId="0" applyNumberFormat="1" applyFont="1" applyBorder="1" applyAlignment="1">
      <alignment horizontal="center" vertical="center" wrapText="1"/>
    </xf>
    <xf numFmtId="0" fontId="13" fillId="0" borderId="0" xfId="0" applyFont="1"/>
    <xf numFmtId="164" fontId="0" fillId="0" borderId="0" xfId="0" applyNumberFormat="1"/>
    <xf numFmtId="0" fontId="0" fillId="0" borderId="0" xfId="0" applyProtection="1">
      <protection locked="0"/>
    </xf>
    <xf numFmtId="0" fontId="4" fillId="2" borderId="25" xfId="0" applyFont="1" applyFill="1" applyBorder="1" applyAlignment="1" applyProtection="1">
      <alignment horizontal="left" vertical="center" wrapText="1"/>
    </xf>
    <xf numFmtId="164" fontId="0" fillId="0" borderId="0" xfId="0" applyNumberFormat="1" applyProtection="1">
      <protection locked="0"/>
    </xf>
    <xf numFmtId="0" fontId="11" fillId="5" borderId="0" xfId="0" applyFont="1" applyFill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164" fontId="1" fillId="0" borderId="0" xfId="0" applyNumberFormat="1" applyFont="1" applyAlignment="1" applyProtection="1">
      <alignment horizontal="center" vertical="center"/>
    </xf>
    <xf numFmtId="0" fontId="8" fillId="5" borderId="0" xfId="0" applyFont="1" applyFill="1" applyAlignment="1" applyProtection="1">
      <alignment horizontal="center" vertical="center"/>
    </xf>
    <xf numFmtId="0" fontId="0" fillId="0" borderId="0" xfId="0" applyProtection="1"/>
    <xf numFmtId="164" fontId="0" fillId="0" borderId="0" xfId="0" applyNumberFormat="1" applyProtection="1"/>
    <xf numFmtId="0" fontId="8" fillId="5" borderId="0" xfId="0" applyFont="1" applyFill="1" applyAlignment="1" applyProtection="1">
      <alignment horizontal="center" vertical="center"/>
    </xf>
    <xf numFmtId="164" fontId="3" fillId="0" borderId="0" xfId="0" applyNumberFormat="1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164" fontId="4" fillId="0" borderId="0" xfId="0" applyNumberFormat="1" applyFont="1" applyAlignment="1" applyProtection="1">
      <alignment horizontal="center" vertical="center"/>
    </xf>
    <xf numFmtId="0" fontId="9" fillId="4" borderId="22" xfId="0" applyFont="1" applyFill="1" applyBorder="1" applyAlignment="1" applyProtection="1">
      <alignment horizontal="left" vertical="center" wrapText="1"/>
    </xf>
    <xf numFmtId="0" fontId="9" fillId="4" borderId="23" xfId="0" applyFont="1" applyFill="1" applyBorder="1" applyAlignment="1" applyProtection="1">
      <alignment horizontal="left" vertical="center" wrapText="1"/>
    </xf>
    <xf numFmtId="0" fontId="5" fillId="2" borderId="24" xfId="0" applyFont="1" applyFill="1" applyBorder="1" applyAlignment="1" applyProtection="1">
      <alignment horizontal="left" vertical="center" wrapText="1"/>
    </xf>
    <xf numFmtId="0" fontId="5" fillId="2" borderId="26" xfId="0" applyFont="1" applyFill="1" applyBorder="1" applyAlignment="1" applyProtection="1">
      <alignment horizontal="left" vertical="center" wrapText="1"/>
    </xf>
    <xf numFmtId="0" fontId="4" fillId="2" borderId="27" xfId="0" applyFont="1" applyFill="1" applyBorder="1" applyAlignment="1" applyProtection="1">
      <alignment horizontal="left" vertical="center" wrapText="1"/>
    </xf>
    <xf numFmtId="0" fontId="0" fillId="2" borderId="0" xfId="0" applyFill="1" applyProtection="1"/>
    <xf numFmtId="0" fontId="10" fillId="4" borderId="11" xfId="0" applyFont="1" applyFill="1" applyBorder="1" applyAlignment="1" applyProtection="1">
      <alignment horizontal="center" vertical="center" wrapText="1"/>
    </xf>
    <xf numFmtId="0" fontId="10" fillId="4" borderId="12" xfId="0" applyFont="1" applyFill="1" applyBorder="1" applyAlignment="1" applyProtection="1">
      <alignment horizontal="center" vertical="center" wrapText="1"/>
    </xf>
    <xf numFmtId="164" fontId="10" fillId="4" borderId="12" xfId="0" applyNumberFormat="1" applyFont="1" applyFill="1" applyBorder="1" applyAlignment="1" applyProtection="1">
      <alignment horizontal="center" vertical="center" wrapText="1"/>
    </xf>
    <xf numFmtId="164" fontId="10" fillId="4" borderId="13" xfId="0" applyNumberFormat="1" applyFont="1" applyFill="1" applyBorder="1" applyAlignment="1" applyProtection="1">
      <alignment horizontal="center"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4" fillId="0" borderId="10" xfId="0" applyFont="1" applyBorder="1" applyAlignment="1" applyProtection="1">
      <alignment horizontal="center" vertical="center" wrapText="1"/>
    </xf>
    <xf numFmtId="164" fontId="4" fillId="0" borderId="10" xfId="0" applyNumberFormat="1" applyFont="1" applyBorder="1" applyAlignment="1" applyProtection="1">
      <alignment horizontal="center" vertical="center" wrapText="1"/>
    </xf>
    <xf numFmtId="0" fontId="0" fillId="0" borderId="16" xfId="0" applyBorder="1" applyProtection="1"/>
    <xf numFmtId="0" fontId="0" fillId="0" borderId="17" xfId="0" applyBorder="1" applyAlignment="1" applyProtection="1">
      <alignment horizontal="center"/>
    </xf>
    <xf numFmtId="164" fontId="0" fillId="0" borderId="17" xfId="0" applyNumberFormat="1" applyBorder="1" applyAlignment="1" applyProtection="1">
      <alignment horizontal="center"/>
    </xf>
    <xf numFmtId="164" fontId="0" fillId="0" borderId="18" xfId="0" applyNumberFormat="1" applyBorder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0" xfId="0" applyFont="1" applyBorder="1" applyAlignment="1" applyProtection="1">
      <alignment horizontal="center"/>
    </xf>
    <xf numFmtId="0" fontId="0" fillId="0" borderId="14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164" fontId="0" fillId="0" borderId="15" xfId="0" applyNumberFormat="1" applyBorder="1" applyAlignment="1" applyProtection="1">
      <alignment horizontal="center"/>
    </xf>
    <xf numFmtId="0" fontId="7" fillId="3" borderId="16" xfId="0" applyFont="1" applyFill="1" applyBorder="1" applyAlignment="1" applyProtection="1">
      <alignment horizontal="center"/>
    </xf>
    <xf numFmtId="0" fontId="7" fillId="3" borderId="17" xfId="0" applyFont="1" applyFill="1" applyBorder="1" applyAlignment="1" applyProtection="1">
      <alignment horizontal="center"/>
    </xf>
    <xf numFmtId="0" fontId="4" fillId="2" borderId="25" xfId="0" applyFont="1" applyFill="1" applyBorder="1" applyAlignment="1" applyProtection="1">
      <alignment horizontal="left" vertical="center" wrapText="1"/>
      <protection hidden="1"/>
    </xf>
    <xf numFmtId="15" fontId="4" fillId="2" borderId="25" xfId="0" applyNumberFormat="1" applyFont="1" applyFill="1" applyBorder="1" applyAlignment="1" applyProtection="1">
      <alignment horizontal="left" vertical="center" wrapText="1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  <xf numFmtId="164" fontId="4" fillId="0" borderId="15" xfId="0" applyNumberFormat="1" applyFont="1" applyBorder="1" applyAlignment="1" applyProtection="1">
      <alignment horizontal="center" vertical="center" wrapText="1"/>
      <protection hidden="1"/>
    </xf>
    <xf numFmtId="164" fontId="6" fillId="0" borderId="21" xfId="0" applyNumberFormat="1" applyFont="1" applyBorder="1" applyAlignment="1" applyProtection="1">
      <alignment horizontal="center"/>
      <protection hidden="1"/>
    </xf>
    <xf numFmtId="164" fontId="7" fillId="3" borderId="18" xfId="0" applyNumberFormat="1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144"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19" formatCode="yyyy/mm/dd"/>
    </dxf>
    <dxf>
      <numFmt numFmtId="0" formatCode="General"/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497982-AAE8-48B7-945F-359CBC35C5EE}" autoFormatId="16" applyNumberFormats="0" applyBorderFormats="0" applyFontFormats="0" applyPatternFormats="0" applyAlignmentFormats="0" applyWidthHeightFormats="0">
  <queryTableRefresh nextId="7">
    <queryTableFields count="6">
      <queryTableField id="1" name="Description of Goods" tableColumnId="1"/>
      <queryTableField id="2" name="Harmonized System (HS) Code" tableColumnId="2"/>
      <queryTableField id="3" name="Quantity" tableColumnId="3"/>
      <queryTableField id="4" name="Unit Price (USD)" tableColumnId="4"/>
      <queryTableField id="5" name="Total Price (USD)" tableColumnId="5"/>
      <queryTableField id="6" name="Nam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6201C3-C030-418B-8822-A9D44439A544}" autoFormatId="16" applyNumberFormats="0" applyBorderFormats="0" applyFontFormats="0" applyPatternFormats="0" applyAlignmentFormats="0" applyWidthHeightFormats="0">
  <queryTableRefresh nextId="6">
    <queryTableFields count="5">
      <queryTableField id="1" name="Invoice Number" tableColumnId="1"/>
      <queryTableField id="2" name="Date of Issue" tableColumnId="2"/>
      <queryTableField id="3" name="Buyer" tableColumnId="3"/>
      <queryTableField id="4" name="Currency" tableColumnId="4"/>
      <queryTableField id="5" name="Terms of Trad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2E4EFA6-2C94-4294-802E-E00EEE83EAFA}" name="SHEET116" displayName="SHEET116" ref="A9:B14" totalsRowShown="0" headerRowDxfId="1" dataDxfId="0" headerRowBorderDxfId="143" tableBorderDxfId="142" totalsRowBorderDxfId="141">
  <tableColumns count="2">
    <tableColumn id="1" xr3:uid="{6E73742A-9C3C-414B-ADF6-9D1B7DE7249D}" name="Detail" dataDxfId="3"/>
    <tableColumn id="2" xr3:uid="{506AE6D0-C36D-4383-B647-9428663F0AB7}" name="Valu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7FAE11E-FC59-40DA-8EFE-E34FF5FE0BB2}" name="Query2" displayName="Query2" ref="A1:F28" tableType="queryTable" totalsRowShown="0">
  <autoFilter ref="A1:F28" xr:uid="{D7FAE11E-FC59-40DA-8EFE-E34FF5FE0BB2}"/>
  <tableColumns count="6">
    <tableColumn id="1" xr3:uid="{014BBFC5-3079-476B-8482-D7BF082CE553}" uniqueName="1" name="Description of Goods" queryTableFieldId="1"/>
    <tableColumn id="2" xr3:uid="{2B66EE9A-4087-434D-BC66-F537E2D6167D}" uniqueName="2" name="Harmonized System (HS) Code" queryTableFieldId="2"/>
    <tableColumn id="3" xr3:uid="{E074FEBC-AD71-45B1-9126-315DC9BF97C3}" uniqueName="3" name="Quantity" queryTableFieldId="3"/>
    <tableColumn id="4" xr3:uid="{BEF41B6F-9317-4239-A991-7933D468020C}" uniqueName="4" name="Unit Price (USD)" queryTableFieldId="4"/>
    <tableColumn id="5" xr3:uid="{54D68CAA-2441-4FEF-BD2D-A8949355BE86}" uniqueName="5" name="Total Price (USD)" queryTableFieldId="5"/>
    <tableColumn id="6" xr3:uid="{B5486690-DD0D-4FEA-A114-E045DEB03B35}" uniqueName="6" name="Name" queryTableFieldId="6" dataDxfId="14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5BB835-CFF0-4BED-AE86-90177302B412}" name="Query1" displayName="Query1" ref="A1:E21" tableType="queryTable" totalsRowShown="0">
  <autoFilter ref="A1:E21" xr:uid="{D05BB835-CFF0-4BED-AE86-90177302B412}"/>
  <tableColumns count="5">
    <tableColumn id="1" xr3:uid="{5D4DC016-0AAF-4505-BCD6-79B1450D6088}" uniqueName="1" name="Invoice Number" queryTableFieldId="1"/>
    <tableColumn id="2" xr3:uid="{83002D9F-B3BA-44E8-8A9F-C56312E31252}" uniqueName="2" name="Date of Issue" queryTableFieldId="2" dataDxfId="139"/>
    <tableColumn id="3" xr3:uid="{F28CEE28-B08C-408A-AC74-8A2A39B9E987}" uniqueName="3" name="Buyer" queryTableFieldId="3"/>
    <tableColumn id="4" xr3:uid="{C1A8ACD7-7C7C-4682-B75D-850D02DB5066}" uniqueName="4" name="Currency" queryTableFieldId="4"/>
    <tableColumn id="5" xr3:uid="{6929E71D-B4BD-465C-BC17-E9903FFA828A}" uniqueName="5" name="Terms of Trad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62433-15FA-457B-8050-52C15B66807A}" name="SHEET1" displayName="SHEET1" ref="A9:B14" totalsRowShown="0" headerRowDxfId="138" headerRowBorderDxfId="137" tableBorderDxfId="136" totalsRowBorderDxfId="135">
  <autoFilter ref="A9:B14" xr:uid="{28262433-15FA-457B-8050-52C15B66807A}"/>
  <tableColumns count="2">
    <tableColumn id="1" xr3:uid="{1FA39DF3-BC10-4A1A-B28B-E9E5282E5FB6}" name="Detail" dataDxfId="134"/>
    <tableColumn id="2" xr3:uid="{25ACBCA8-EFD8-433E-B943-9FFA4620F7F1}" name="Value" dataDxfId="1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E57D869-ADB3-4590-BD9E-4675F932DC65}" name="detail1" displayName="detail1" ref="A16:E19" totalsRowShown="0" headerRowDxfId="132" dataDxfId="130" headerRowBorderDxfId="131" tableBorderDxfId="129" totalsRowBorderDxfId="128">
  <autoFilter ref="A16:E19" xr:uid="{6E57D869-ADB3-4590-BD9E-4675F932DC65}"/>
  <tableColumns count="5">
    <tableColumn id="1" xr3:uid="{FC9CC2A6-3402-4636-A77A-14DFB5EB08CB}" name="Description of Goods"/>
    <tableColumn id="2" xr3:uid="{C9AF0F32-54AE-4C7E-8BFE-2DDFA19FF5E0}" name="Harmonized System (HS) Code" dataDxfId="127"/>
    <tableColumn id="3" xr3:uid="{3477082E-9858-4A28-962B-17A9AE0D3F60}" name="Quantity" dataDxfId="126"/>
    <tableColumn id="4" xr3:uid="{66AFFC88-54D8-48D9-A020-D7D23B8FC41B}" name="Unit Price (USD)" dataDxfId="125"/>
    <tableColumn id="5" xr3:uid="{1421809F-3EDE-4BC0-A82C-690F566F51DD}" name="Total Price (USD)" dataDxfId="1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58E03A-0F72-4E37-B9FC-724B890955E4}" name="Table4" displayName="Table4" ref="A9:B14" totalsRowShown="0" headerRowDxfId="123" headerRowBorderDxfId="122" tableBorderDxfId="121" totalsRowBorderDxfId="120">
  <autoFilter ref="A9:B14" xr:uid="{D658E03A-0F72-4E37-B9FC-724B890955E4}"/>
  <tableColumns count="2">
    <tableColumn id="1" xr3:uid="{1FD6CEFE-09E2-410D-A1C2-9FFD35CF3598}" name="Detail" dataDxfId="119"/>
    <tableColumn id="2" xr3:uid="{441A477B-8AEB-43C4-B7E7-A7C520DC4839}" name="Value" dataDxfId="1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51B050C-B82F-4269-B514-AD3CE9651A3C}" name="detail4" displayName="detail4" ref="A16:E19" totalsRowShown="0" headerRowDxfId="117" dataDxfId="115" headerRowBorderDxfId="116" tableBorderDxfId="114" totalsRowBorderDxfId="113">
  <autoFilter ref="A16:E19" xr:uid="{951B050C-B82F-4269-B514-AD3CE9651A3C}"/>
  <tableColumns count="5">
    <tableColumn id="1" xr3:uid="{AE30CAC2-2F50-479B-8A4B-A0DAF0AA5FFA}" name="Description of Goods"/>
    <tableColumn id="2" xr3:uid="{5C8EA029-EEC1-4E2D-8C61-6C5ED41391AF}" name="Harmonized System (HS) Code" dataDxfId="112"/>
    <tableColumn id="3" xr3:uid="{0666B260-5551-4B6B-8CD3-E728B4764467}" name="Quantity" dataDxfId="111"/>
    <tableColumn id="4" xr3:uid="{312471BD-8F5F-4031-8260-59866D504461}" name="Unit Price (USD)" dataDxfId="110"/>
    <tableColumn id="5" xr3:uid="{199E940A-32DA-46B5-B96F-4DF4082280B8}" name="Total Price (USD)" dataDxfId="10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7D6201-85A3-42F1-AFEA-4B3920C5C5D0}" name="Table2" displayName="Table2" ref="A9:B14" totalsRowShown="0" headerRowDxfId="108" headerRowBorderDxfId="107" tableBorderDxfId="106" totalsRowBorderDxfId="105">
  <autoFilter ref="A9:B14" xr:uid="{A47D6201-85A3-42F1-AFEA-4B3920C5C5D0}"/>
  <tableColumns count="2">
    <tableColumn id="1" xr3:uid="{EBA8323C-B126-4087-A996-A63A57A69DBA}" name="Detail" dataDxfId="104"/>
    <tableColumn id="2" xr3:uid="{46420695-60FF-4D01-8A0D-852AA5C17DC5}" name="Value" dataDxfId="10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37CCF25-CC5E-4FFD-A357-26ACE6040C35}" name="detail2" displayName="detail2" ref="A16:E19" totalsRowShown="0" headerRowDxfId="102" dataDxfId="100" headerRowBorderDxfId="101" tableBorderDxfId="99" totalsRowBorderDxfId="98">
  <autoFilter ref="A16:E19" xr:uid="{837CCF25-CC5E-4FFD-A357-26ACE6040C35}"/>
  <tableColumns count="5">
    <tableColumn id="1" xr3:uid="{096B7D56-3E72-4490-A5C3-F54905487CAA}" name="Description of Goods"/>
    <tableColumn id="2" xr3:uid="{66E9FCF7-76B5-4ABA-945B-4D8A5F148953}" name="Harmonized System (HS) Code" dataDxfId="97"/>
    <tableColumn id="3" xr3:uid="{4E7E6110-65CB-4796-A669-FFE78E33A40B}" name="Quantity" dataDxfId="96"/>
    <tableColumn id="4" xr3:uid="{7348627A-8F1D-40CB-8EED-A68662CB29DD}" name="Unit Price (USD)" dataDxfId="95"/>
    <tableColumn id="5" xr3:uid="{F60147B1-45BD-4771-8A85-00A9E0A8CA62}" name="Total Price (USD)" dataDxfId="9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7041E4-1E6E-42D8-9F26-8838E9A42765}" name="Table3" displayName="Table3" ref="A9:B14" totalsRowShown="0" headerRowDxfId="93" headerRowBorderDxfId="92" tableBorderDxfId="91" totalsRowBorderDxfId="90">
  <autoFilter ref="A9:B14" xr:uid="{A37041E4-1E6E-42D8-9F26-8838E9A42765}"/>
  <tableColumns count="2">
    <tableColumn id="1" xr3:uid="{691731AE-E0F6-47C4-B6CE-65676B1BC036}" name="Detail" dataDxfId="89"/>
    <tableColumn id="2" xr3:uid="{1AD928B7-2674-4072-AC19-B6376AC0FBB7}" name="Value" dataDxfId="8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7375BAD-4934-4AA3-8F4A-38D3613385A4}" name="detail3" displayName="detail3" ref="A16:E19" totalsRowShown="0" headerRowDxfId="87" dataDxfId="85" headerRowBorderDxfId="86" tableBorderDxfId="84" totalsRowBorderDxfId="83">
  <autoFilter ref="A16:E19" xr:uid="{87375BAD-4934-4AA3-8F4A-38D3613385A4}"/>
  <tableColumns count="5">
    <tableColumn id="1" xr3:uid="{E73C283B-713B-4D72-8BE9-9AE7E8BF63B2}" name="Description of Goods"/>
    <tableColumn id="2" xr3:uid="{A81745E0-44B4-4865-8974-5A20067864E6}" name="Harmonized System (HS) Code" dataDxfId="82"/>
    <tableColumn id="3" xr3:uid="{5D6B61EC-FAA5-41FD-83B7-400CF4148B93}" name="Quantity" dataDxfId="81"/>
    <tableColumn id="4" xr3:uid="{7649A8AC-479C-4E23-8B9E-2F7CA052BBD0}" name="Unit Price (USD)" dataDxfId="80"/>
    <tableColumn id="5" xr3:uid="{885AF462-6C97-456E-9479-329912690704}" name="Total Price (USD)" dataDxfId="7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2A0CE5-6C08-42F7-8A68-A4891DEFF147}" name="Table5" displayName="Table5" ref="A9:B14" totalsRowShown="0" headerRowDxfId="78" headerRowBorderDxfId="77" tableBorderDxfId="76" totalsRowBorderDxfId="75">
  <autoFilter ref="A9:B14" xr:uid="{B42A0CE5-6C08-42F7-8A68-A4891DEFF147}"/>
  <tableColumns count="2">
    <tableColumn id="1" xr3:uid="{81277BFC-01E1-463F-850C-137663BA8EFC}" name="Detail" dataDxfId="74"/>
    <tableColumn id="2" xr3:uid="{EA7DFDDA-2768-4A02-A22A-E696A3513493}" name="Value" dataDxfId="7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380FB68-CCCE-41C6-8A61-176717BB918D}" name="detail5" displayName="detail5" ref="A16:E19" totalsRowShown="0" headerRowDxfId="72" dataDxfId="70" headerRowBorderDxfId="71" tableBorderDxfId="69" totalsRowBorderDxfId="68">
  <autoFilter ref="A16:E19" xr:uid="{3380FB68-CCCE-41C6-8A61-176717BB918D}"/>
  <tableColumns count="5">
    <tableColumn id="1" xr3:uid="{77302348-BB02-4881-BF44-9E7B92FE0C7B}" name="Description of Goods"/>
    <tableColumn id="2" xr3:uid="{D28997D2-2987-4BC5-AB09-932819FF78A1}" name="Harmonized System (HS) Code" dataDxfId="67"/>
    <tableColumn id="3" xr3:uid="{B8E9663F-E7A9-4CE3-90B0-72ED60B3E7D5}" name="Quantity" dataDxfId="66"/>
    <tableColumn id="4" xr3:uid="{AFBECFD7-63EF-4517-B279-355A3F4E9AFA}" name="Unit Price (USD)" dataDxfId="65"/>
    <tableColumn id="5" xr3:uid="{EF08218A-4404-4135-8951-5F7D96612399}" name="Total Price (USD)" dataDxfId="6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0E90B9-6375-4126-A097-C49A74DEC086}" name="Table6" displayName="Table6" ref="A9:B14" totalsRowShown="0" headerRowDxfId="63" headerRowBorderDxfId="62" tableBorderDxfId="61" totalsRowBorderDxfId="60">
  <autoFilter ref="A9:B14" xr:uid="{2B0E90B9-6375-4126-A097-C49A74DEC086}"/>
  <tableColumns count="2">
    <tableColumn id="1" xr3:uid="{B2A9B33E-8AEC-47AD-A6FB-7D06648018A0}" name="Detail" dataDxfId="59"/>
    <tableColumn id="2" xr3:uid="{7C4DCA25-79FB-4EEA-AF9D-F2272E7B81A9}" name="Value" dataDxfId="5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993569D-409E-4B98-AB1E-7642DA5ABE80}" name="detail6" displayName="detail6" ref="A16:E19" totalsRowShown="0" headerRowDxfId="57" dataDxfId="55" headerRowBorderDxfId="56" tableBorderDxfId="54" totalsRowBorderDxfId="53">
  <autoFilter ref="A16:E19" xr:uid="{D993569D-409E-4B98-AB1E-7642DA5ABE80}"/>
  <tableColumns count="5">
    <tableColumn id="1" xr3:uid="{8319E474-A9B8-4C82-8DFE-23251C3A987C}" name="Description of Goods"/>
    <tableColumn id="2" xr3:uid="{D9936DB9-B9A9-414D-9283-9A046B6E0AA3}" name="Harmonized System (HS) Code" dataDxfId="52"/>
    <tableColumn id="3" xr3:uid="{EB82228A-9DF3-4D79-9D89-00E504A04B74}" name="Quantity" dataDxfId="51"/>
    <tableColumn id="4" xr3:uid="{2C9CF6D4-C7F2-4D28-B1A5-9B5B75402CE7}" name="Unit Price (USD)" dataDxfId="50"/>
    <tableColumn id="5" xr3:uid="{03CA7001-367E-484D-A4BC-F319B283967B}" name="Total Price (USD)" dataDxfId="4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429D82-DADE-4D35-A060-237D6CCF16C0}" name="Table7" displayName="Table7" ref="A9:B14" totalsRowShown="0" headerRowDxfId="48" headerRowBorderDxfId="47" tableBorderDxfId="46" totalsRowBorderDxfId="45">
  <autoFilter ref="A9:B14" xr:uid="{2E429D82-DADE-4D35-A060-237D6CCF16C0}"/>
  <tableColumns count="2">
    <tableColumn id="1" xr3:uid="{48D660C3-2B12-440F-B723-F64C23F53BCF}" name="Detail" dataDxfId="44"/>
    <tableColumn id="2" xr3:uid="{176F442F-7261-4271-8286-D905BC1410E6}" name="Value" dataDxfId="4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1D397FC-8EA6-40E6-BC13-4C47466A0FF5}" name="detail7" displayName="detail7" ref="A16:E19" totalsRowShown="0" headerRowDxfId="42" dataDxfId="40" headerRowBorderDxfId="41" tableBorderDxfId="39" totalsRowBorderDxfId="38">
  <autoFilter ref="A16:E19" xr:uid="{B1D397FC-8EA6-40E6-BC13-4C47466A0FF5}"/>
  <tableColumns count="5">
    <tableColumn id="1" xr3:uid="{11B6F3F2-38F5-45D9-BD2A-EABED0887670}" name="Description of Goods"/>
    <tableColumn id="2" xr3:uid="{30F9E84E-26E4-4585-A131-2D2F59465F38}" name="Harmonized System (HS) Code" dataDxfId="37"/>
    <tableColumn id="3" xr3:uid="{73BB6D2C-C091-4339-B54F-F4E756BF3E1C}" name="Quantity" dataDxfId="36"/>
    <tableColumn id="4" xr3:uid="{D7BE1649-3241-4C37-A83E-9B681877A0E6}" name="Unit Price (USD)" dataDxfId="35"/>
    <tableColumn id="5" xr3:uid="{ABAB3A38-BD15-41F6-B7C9-F9888D1A848F}" name="Total Price (USD)" dataDxfId="3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3BE554-4F9F-41FA-98F0-8C9FCB4C26F0}" name="Table9" displayName="Table9" ref="A9:B14" totalsRowShown="0" headerRowDxfId="33" headerRowBorderDxfId="32" tableBorderDxfId="31" totalsRowBorderDxfId="30">
  <autoFilter ref="A9:B14" xr:uid="{753BE554-4F9F-41FA-98F0-8C9FCB4C26F0}"/>
  <tableColumns count="2">
    <tableColumn id="1" xr3:uid="{A9B68917-47C4-41B3-A792-B34F45B8A646}" name="Detail" dataDxfId="29"/>
    <tableColumn id="2" xr3:uid="{4C18F936-3010-4F65-8254-C853B4DDE798}" name="Value" dataDxfId="2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FCAF9C3-A651-4EAC-8984-713283B2D8CE}" name="detail9" displayName="detail9" ref="A16:E19" totalsRowShown="0" headerRowDxfId="27" dataDxfId="25" headerRowBorderDxfId="26" tableBorderDxfId="24" totalsRowBorderDxfId="23">
  <autoFilter ref="A16:E19" xr:uid="{4FCAF9C3-A651-4EAC-8984-713283B2D8CE}"/>
  <tableColumns count="5">
    <tableColumn id="1" xr3:uid="{C9FC8C57-FF89-404D-9195-5387636B3059}" name="Description of Goods"/>
    <tableColumn id="2" xr3:uid="{874F2000-26F9-4E29-B951-3282AC89C902}" name="Harmonized System (HS) Code" dataDxfId="22"/>
    <tableColumn id="3" xr3:uid="{143C5F54-E615-4C5A-9A9B-743CB8D04AC7}" name="Quantity" dataDxfId="21"/>
    <tableColumn id="4" xr3:uid="{7E55E290-7D1C-404D-B720-29AC695C3576}" name="Unit Price (USD)" dataDxfId="20"/>
    <tableColumn id="5" xr3:uid="{1FFC1C77-872F-483D-A562-954CDA396596}" name="Total Price (USD)" dataDxfId="1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72A6BA-37F3-469B-BE2D-9D1E37CC51E1}" name="Table10" displayName="Table10" ref="A9:B14" totalsRowShown="0" headerRowDxfId="18" headerRowBorderDxfId="17" tableBorderDxfId="16" totalsRowBorderDxfId="15">
  <autoFilter ref="A9:B14" xr:uid="{2372A6BA-37F3-469B-BE2D-9D1E37CC51E1}"/>
  <tableColumns count="2">
    <tableColumn id="1" xr3:uid="{4EC3FBE9-331D-461D-9C80-21DB4BC958A5}" name="Detail" dataDxfId="14"/>
    <tableColumn id="2" xr3:uid="{F234854B-5AA4-4553-86CA-D675179815D7}" name="Value" dataDxfId="13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5F4061C-B866-4008-A74B-A5AF16B8F393}" name="detail10" displayName="detail10" ref="A16:E19" totalsRowShown="0" headerRowDxfId="12" dataDxfId="10" headerRowBorderDxfId="11" tableBorderDxfId="9" totalsRowBorderDxfId="8">
  <autoFilter ref="A16:E19" xr:uid="{45F4061C-B866-4008-A74B-A5AF16B8F393}"/>
  <tableColumns count="5">
    <tableColumn id="1" xr3:uid="{0B327C2D-54BC-4065-8370-03987177131A}" name="Description of Goods"/>
    <tableColumn id="2" xr3:uid="{B03391B4-2E00-4424-A338-FD9A77E536EB}" name="Harmonized System (HS) Code" dataDxfId="7"/>
    <tableColumn id="3" xr3:uid="{ECB09003-C728-44F4-9E33-038DE429CB9D}" name="Quantity" dataDxfId="6"/>
    <tableColumn id="4" xr3:uid="{79007D56-9A75-4044-ABDA-935525180FBC}" name="Unit Price (USD)" dataDxfId="5"/>
    <tableColumn id="5" xr3:uid="{1224E8C8-2C9C-4994-8A60-9D500A7A5D95}" name="Total Price (USD)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63B0-D0D6-42F1-8710-33C42DBCA6A6}">
  <dimension ref="A1:I24"/>
  <sheetViews>
    <sheetView zoomScale="74" workbookViewId="0">
      <selection activeCell="A7" sqref="A7"/>
    </sheetView>
  </sheetViews>
  <sheetFormatPr defaultRowHeight="14.5" x14ac:dyDescent="0.35"/>
  <cols>
    <col min="1" max="1" width="37.36328125" customWidth="1"/>
    <col min="2" max="2" width="36.7265625" customWidth="1"/>
    <col min="3" max="3" width="9.6328125" customWidth="1"/>
    <col min="4" max="4" width="18.54296875" style="29" customWidth="1"/>
    <col min="5" max="5" width="14" style="29" bestFit="1" customWidth="1"/>
  </cols>
  <sheetData>
    <row r="1" spans="1:9" ht="16.5" customHeight="1" x14ac:dyDescent="0.35">
      <c r="A1" s="33" t="s">
        <v>0</v>
      </c>
      <c r="B1" s="33"/>
      <c r="C1" s="33"/>
      <c r="D1" s="33"/>
      <c r="E1" s="33"/>
    </row>
    <row r="2" spans="1:9" s="28" customFormat="1" ht="16.5" customHeight="1" x14ac:dyDescent="0.3">
      <c r="A2" s="34" t="s">
        <v>46</v>
      </c>
      <c r="B2" s="34"/>
      <c r="C2" s="34"/>
      <c r="D2" s="34"/>
      <c r="E2" s="34"/>
    </row>
    <row r="3" spans="1:9" ht="16.5" customHeight="1" x14ac:dyDescent="0.35">
      <c r="A3" s="35"/>
      <c r="B3" s="36"/>
      <c r="C3" s="36"/>
      <c r="D3" s="37"/>
      <c r="E3" s="37"/>
    </row>
    <row r="4" spans="1:9" ht="15.5" customHeight="1" x14ac:dyDescent="0.35">
      <c r="A4" s="38" t="s">
        <v>2</v>
      </c>
      <c r="B4" s="38"/>
      <c r="C4" s="38"/>
      <c r="D4" s="38"/>
      <c r="E4" s="38"/>
    </row>
    <row r="5" spans="1:9" x14ac:dyDescent="0.35">
      <c r="A5" s="39"/>
      <c r="B5" s="39"/>
      <c r="C5" s="39"/>
      <c r="D5" s="40"/>
      <c r="E5" s="40"/>
    </row>
    <row r="6" spans="1:9" ht="15.5" customHeight="1" x14ac:dyDescent="0.35">
      <c r="A6" s="41" t="s">
        <v>3</v>
      </c>
      <c r="B6" s="35"/>
      <c r="C6" s="35"/>
      <c r="D6" s="42"/>
      <c r="E6" s="42"/>
    </row>
    <row r="7" spans="1:9" x14ac:dyDescent="0.35">
      <c r="A7" s="43" t="s">
        <v>48</v>
      </c>
      <c r="B7" s="43"/>
      <c r="C7" s="43"/>
      <c r="D7" s="44"/>
      <c r="E7" s="44"/>
    </row>
    <row r="8" spans="1:9" x14ac:dyDescent="0.35">
      <c r="A8" s="39"/>
      <c r="B8" s="39"/>
      <c r="C8" s="39"/>
      <c r="D8" s="40"/>
      <c r="E8" s="40"/>
    </row>
    <row r="9" spans="1:9" ht="15.5" x14ac:dyDescent="0.35">
      <c r="A9" s="45" t="s">
        <v>5</v>
      </c>
      <c r="B9" s="46" t="s">
        <v>6</v>
      </c>
      <c r="C9" s="39"/>
      <c r="D9" s="40"/>
      <c r="E9" s="40"/>
    </row>
    <row r="10" spans="1:9" x14ac:dyDescent="0.35">
      <c r="A10" s="47" t="s">
        <v>7</v>
      </c>
      <c r="B10" s="69" t="str">
        <f>_xlfn.XLOOKUP(A7,Query1!C:C,Query1!A:A)</f>
        <v>GTX-INV-1011</v>
      </c>
      <c r="C10" s="39"/>
      <c r="D10" s="40"/>
      <c r="E10" s="40"/>
    </row>
    <row r="11" spans="1:9" x14ac:dyDescent="0.35">
      <c r="A11" s="47" t="s">
        <v>9</v>
      </c>
      <c r="B11" s="70">
        <f>_xlfn.XLOOKUP(A7,Query1!C:C,Query1!B:B)</f>
        <v>46123</v>
      </c>
      <c r="C11" s="39"/>
      <c r="D11" s="40"/>
      <c r="E11" s="40"/>
    </row>
    <row r="12" spans="1:9" ht="23" customHeight="1" x14ac:dyDescent="0.35">
      <c r="A12" s="47" t="s">
        <v>10</v>
      </c>
      <c r="B12" s="69" t="str">
        <f>_xlfn.XLOOKUP(A7,Query1!C:C,Query1!C:C)</f>
        <v>Denial (Dnmark)</v>
      </c>
      <c r="C12" s="39"/>
      <c r="D12" s="40"/>
      <c r="E12" s="40"/>
    </row>
    <row r="13" spans="1:9" x14ac:dyDescent="0.35">
      <c r="A13" s="47" t="s">
        <v>12</v>
      </c>
      <c r="B13" s="31" t="s">
        <v>13</v>
      </c>
      <c r="C13" s="39"/>
      <c r="D13" s="40"/>
      <c r="E13" s="40"/>
    </row>
    <row r="14" spans="1:9" x14ac:dyDescent="0.35">
      <c r="A14" s="48" t="s">
        <v>14</v>
      </c>
      <c r="B14" s="49" t="s">
        <v>15</v>
      </c>
      <c r="C14" s="39"/>
      <c r="D14" s="40"/>
      <c r="E14" s="40"/>
    </row>
    <row r="15" spans="1:9" ht="15" thickBot="1" x14ac:dyDescent="0.4">
      <c r="A15" s="50"/>
      <c r="B15" s="50"/>
      <c r="C15" s="39"/>
      <c r="D15" s="40"/>
      <c r="E15" s="40"/>
      <c r="I15" s="30"/>
    </row>
    <row r="16" spans="1:9" ht="28" x14ac:dyDescent="0.35">
      <c r="A16" s="51" t="s">
        <v>16</v>
      </c>
      <c r="B16" s="52" t="s">
        <v>17</v>
      </c>
      <c r="C16" s="52" t="s">
        <v>18</v>
      </c>
      <c r="D16" s="53" t="s">
        <v>19</v>
      </c>
      <c r="E16" s="54" t="s">
        <v>20</v>
      </c>
    </row>
    <row r="17" spans="1:5" x14ac:dyDescent="0.35">
      <c r="A17" s="55" t="s">
        <v>21</v>
      </c>
      <c r="B17" s="56">
        <v>8528</v>
      </c>
      <c r="C17" s="71">
        <f>SUMIFS(products!$C:$C,products!$A:$A,AUTOMATIC!$A17,products!$F:$F,AUTOMATIC!$A$7)</f>
        <v>0</v>
      </c>
      <c r="D17" s="57">
        <v>120</v>
      </c>
      <c r="E17" s="72">
        <f>D17*C17</f>
        <v>0</v>
      </c>
    </row>
    <row r="18" spans="1:5" x14ac:dyDescent="0.35">
      <c r="A18" s="55" t="s">
        <v>22</v>
      </c>
      <c r="B18" s="56">
        <v>8471</v>
      </c>
      <c r="C18" s="71">
        <f>SUMIFS(products!$C:$C,products!$A:$A,$A18,products!$F:$F,$A$7)</f>
        <v>0</v>
      </c>
      <c r="D18" s="57">
        <v>20</v>
      </c>
      <c r="E18" s="72">
        <f>D18*C18</f>
        <v>0</v>
      </c>
    </row>
    <row r="19" spans="1:5" x14ac:dyDescent="0.35">
      <c r="A19" s="55" t="s">
        <v>23</v>
      </c>
      <c r="B19" s="56">
        <v>8523</v>
      </c>
      <c r="C19" s="71">
        <f>SUMIFS(products!$C:$C,products!$A:$A,$A19,products!$F:$F,$A$7)</f>
        <v>0</v>
      </c>
      <c r="D19" s="57">
        <v>10</v>
      </c>
      <c r="E19" s="72">
        <f>D19*C19</f>
        <v>0</v>
      </c>
    </row>
    <row r="20" spans="1:5" ht="15" thickBot="1" x14ac:dyDescent="0.4">
      <c r="A20" s="58"/>
      <c r="B20" s="59"/>
      <c r="C20" s="59"/>
      <c r="D20" s="60"/>
      <c r="E20" s="61"/>
    </row>
    <row r="21" spans="1:5" ht="16" x14ac:dyDescent="0.4">
      <c r="A21" s="39"/>
      <c r="B21" s="39"/>
      <c r="C21" s="62" t="s">
        <v>26</v>
      </c>
      <c r="D21" s="63"/>
      <c r="E21" s="73">
        <f>SUM(E17:E19)</f>
        <v>0</v>
      </c>
    </row>
    <row r="22" spans="1:5" x14ac:dyDescent="0.35">
      <c r="A22" s="39"/>
      <c r="B22" s="39"/>
      <c r="C22" s="64" t="s">
        <v>27</v>
      </c>
      <c r="D22" s="65"/>
      <c r="E22" s="66">
        <v>500</v>
      </c>
    </row>
    <row r="23" spans="1:5" ht="19" thickBot="1" x14ac:dyDescent="0.5">
      <c r="A23" s="39"/>
      <c r="B23" s="39"/>
      <c r="C23" s="67" t="s">
        <v>28</v>
      </c>
      <c r="D23" s="68"/>
      <c r="E23" s="74">
        <f>SUM(E21:E22)</f>
        <v>500</v>
      </c>
    </row>
    <row r="24" spans="1:5" x14ac:dyDescent="0.35">
      <c r="A24" s="30"/>
      <c r="B24" s="30"/>
      <c r="C24" s="30"/>
      <c r="D24" s="32"/>
      <c r="E24" s="32"/>
    </row>
  </sheetData>
  <sheetProtection selectLockedCells="1" selectUnlockedCells="1"/>
  <mergeCells count="6">
    <mergeCell ref="A2:E2"/>
    <mergeCell ref="C21:D21"/>
    <mergeCell ref="C22:D22"/>
    <mergeCell ref="C23:D23"/>
    <mergeCell ref="A1:E1"/>
    <mergeCell ref="A4:E4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8AD78A-D49F-44DA-85BC-408AFDDF4238}">
          <x14:formula1>
            <xm:f>Query1!$C$2:$C$20</xm:f>
          </x14:formula1>
          <xm:sqref>A7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A643-5527-4340-8E1F-C3337500D1F9}">
  <dimension ref="A1:F28"/>
  <sheetViews>
    <sheetView zoomScale="98" workbookViewId="0">
      <selection activeCell="A9" sqref="A9"/>
    </sheetView>
  </sheetViews>
  <sheetFormatPr defaultRowHeight="14.5" x14ac:dyDescent="0.35"/>
  <cols>
    <col min="1" max="1" width="21.08984375" bestFit="1" customWidth="1"/>
    <col min="2" max="2" width="29.36328125" bestFit="1" customWidth="1"/>
    <col min="3" max="3" width="10.453125" bestFit="1" customWidth="1"/>
    <col min="4" max="4" width="17" bestFit="1" customWidth="1"/>
    <col min="5" max="5" width="17.54296875" bestFit="1" customWidth="1"/>
    <col min="6" max="6" width="34.453125" bestFit="1" customWidth="1"/>
  </cols>
  <sheetData>
    <row r="1" spans="1:6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45</v>
      </c>
    </row>
    <row r="2" spans="1:6" x14ac:dyDescent="0.35">
      <c r="A2" t="s">
        <v>21</v>
      </c>
      <c r="B2">
        <v>8528</v>
      </c>
      <c r="C2">
        <v>50</v>
      </c>
      <c r="D2">
        <v>120</v>
      </c>
      <c r="E2">
        <v>6000</v>
      </c>
      <c r="F2" t="s">
        <v>11</v>
      </c>
    </row>
    <row r="3" spans="1:6" x14ac:dyDescent="0.35">
      <c r="A3" t="s">
        <v>22</v>
      </c>
      <c r="B3">
        <v>8471</v>
      </c>
      <c r="C3">
        <v>100</v>
      </c>
      <c r="D3">
        <v>20</v>
      </c>
      <c r="E3">
        <v>2000</v>
      </c>
      <c r="F3" t="s">
        <v>11</v>
      </c>
    </row>
    <row r="4" spans="1:6" x14ac:dyDescent="0.35">
      <c r="A4" t="s">
        <v>23</v>
      </c>
      <c r="B4">
        <v>8523</v>
      </c>
      <c r="C4">
        <v>200</v>
      </c>
      <c r="D4">
        <v>10</v>
      </c>
      <c r="E4">
        <v>2000</v>
      </c>
      <c r="F4" t="s">
        <v>11</v>
      </c>
    </row>
    <row r="5" spans="1:6" x14ac:dyDescent="0.35">
      <c r="A5" t="s">
        <v>21</v>
      </c>
      <c r="B5">
        <v>8528</v>
      </c>
      <c r="C5">
        <v>500</v>
      </c>
      <c r="D5">
        <v>120</v>
      </c>
      <c r="E5">
        <v>6000</v>
      </c>
      <c r="F5" t="s">
        <v>31</v>
      </c>
    </row>
    <row r="6" spans="1:6" x14ac:dyDescent="0.35">
      <c r="A6" t="s">
        <v>22</v>
      </c>
      <c r="B6">
        <v>8471</v>
      </c>
      <c r="C6">
        <v>10</v>
      </c>
      <c r="D6">
        <v>20</v>
      </c>
      <c r="E6">
        <v>2000</v>
      </c>
      <c r="F6" t="s">
        <v>31</v>
      </c>
    </row>
    <row r="7" spans="1:6" x14ac:dyDescent="0.35">
      <c r="A7" t="s">
        <v>23</v>
      </c>
      <c r="B7">
        <v>8523</v>
      </c>
      <c r="C7">
        <v>20</v>
      </c>
      <c r="D7">
        <v>10</v>
      </c>
      <c r="E7">
        <v>2000</v>
      </c>
      <c r="F7" t="s">
        <v>31</v>
      </c>
    </row>
    <row r="8" spans="1:6" x14ac:dyDescent="0.35">
      <c r="A8" t="s">
        <v>21</v>
      </c>
      <c r="B8">
        <v>8528</v>
      </c>
      <c r="C8">
        <v>50</v>
      </c>
      <c r="D8">
        <v>120</v>
      </c>
      <c r="E8">
        <v>6000</v>
      </c>
      <c r="F8" t="s">
        <v>29</v>
      </c>
    </row>
    <row r="9" spans="1:6" x14ac:dyDescent="0.35">
      <c r="A9" t="s">
        <v>22</v>
      </c>
      <c r="B9">
        <v>8471</v>
      </c>
      <c r="C9">
        <v>100</v>
      </c>
      <c r="D9">
        <v>20</v>
      </c>
      <c r="E9">
        <v>2000</v>
      </c>
      <c r="F9" t="s">
        <v>29</v>
      </c>
    </row>
    <row r="10" spans="1:6" x14ac:dyDescent="0.35">
      <c r="A10" t="s">
        <v>23</v>
      </c>
      <c r="B10">
        <v>8523</v>
      </c>
      <c r="C10">
        <v>200</v>
      </c>
      <c r="D10">
        <v>10</v>
      </c>
      <c r="E10">
        <v>2000</v>
      </c>
      <c r="F10" t="s">
        <v>29</v>
      </c>
    </row>
    <row r="11" spans="1:6" x14ac:dyDescent="0.35">
      <c r="A11" t="s">
        <v>21</v>
      </c>
      <c r="B11">
        <v>8528</v>
      </c>
      <c r="C11">
        <v>25</v>
      </c>
      <c r="D11">
        <v>120</v>
      </c>
      <c r="E11">
        <v>6000</v>
      </c>
      <c r="F11" t="s">
        <v>30</v>
      </c>
    </row>
    <row r="12" spans="1:6" x14ac:dyDescent="0.35">
      <c r="A12" t="s">
        <v>22</v>
      </c>
      <c r="B12">
        <v>8471</v>
      </c>
      <c r="C12">
        <v>50</v>
      </c>
      <c r="D12">
        <v>20</v>
      </c>
      <c r="E12">
        <v>2000</v>
      </c>
      <c r="F12" t="s">
        <v>30</v>
      </c>
    </row>
    <row r="13" spans="1:6" x14ac:dyDescent="0.35">
      <c r="A13" t="s">
        <v>23</v>
      </c>
      <c r="B13">
        <v>8523</v>
      </c>
      <c r="C13">
        <v>200</v>
      </c>
      <c r="D13">
        <v>10</v>
      </c>
      <c r="E13">
        <v>2000</v>
      </c>
      <c r="F13" t="s">
        <v>30</v>
      </c>
    </row>
    <row r="14" spans="1:6" x14ac:dyDescent="0.35">
      <c r="A14" t="s">
        <v>21</v>
      </c>
      <c r="B14">
        <v>8528</v>
      </c>
      <c r="C14">
        <v>100</v>
      </c>
      <c r="D14">
        <v>120</v>
      </c>
      <c r="E14">
        <v>6000</v>
      </c>
      <c r="F14" t="s">
        <v>32</v>
      </c>
    </row>
    <row r="15" spans="1:6" x14ac:dyDescent="0.35">
      <c r="A15" t="s">
        <v>22</v>
      </c>
      <c r="B15">
        <v>8471</v>
      </c>
      <c r="C15">
        <v>500</v>
      </c>
      <c r="D15">
        <v>20</v>
      </c>
      <c r="E15">
        <v>2000</v>
      </c>
      <c r="F15" t="s">
        <v>32</v>
      </c>
    </row>
    <row r="16" spans="1:6" x14ac:dyDescent="0.35">
      <c r="A16" t="s">
        <v>23</v>
      </c>
      <c r="B16">
        <v>8523</v>
      </c>
      <c r="C16">
        <v>100</v>
      </c>
      <c r="D16">
        <v>10</v>
      </c>
      <c r="E16">
        <v>2000</v>
      </c>
      <c r="F16" t="s">
        <v>32</v>
      </c>
    </row>
    <row r="17" spans="1:6" x14ac:dyDescent="0.35">
      <c r="A17" t="s">
        <v>21</v>
      </c>
      <c r="B17">
        <v>8528</v>
      </c>
      <c r="C17">
        <v>5</v>
      </c>
      <c r="D17">
        <v>120</v>
      </c>
      <c r="E17">
        <v>6000</v>
      </c>
      <c r="F17" t="s">
        <v>33</v>
      </c>
    </row>
    <row r="18" spans="1:6" x14ac:dyDescent="0.35">
      <c r="A18" t="s">
        <v>22</v>
      </c>
      <c r="B18">
        <v>8471</v>
      </c>
      <c r="C18">
        <v>90</v>
      </c>
      <c r="D18">
        <v>20</v>
      </c>
      <c r="E18">
        <v>2000</v>
      </c>
      <c r="F18" t="s">
        <v>33</v>
      </c>
    </row>
    <row r="19" spans="1:6" x14ac:dyDescent="0.35">
      <c r="A19" t="s">
        <v>23</v>
      </c>
      <c r="B19">
        <v>8523</v>
      </c>
      <c r="C19">
        <v>178</v>
      </c>
      <c r="D19">
        <v>10</v>
      </c>
      <c r="E19">
        <v>2000</v>
      </c>
      <c r="F19" t="s">
        <v>33</v>
      </c>
    </row>
    <row r="20" spans="1:6" x14ac:dyDescent="0.35">
      <c r="A20" t="s">
        <v>21</v>
      </c>
      <c r="B20">
        <v>8528</v>
      </c>
      <c r="C20">
        <v>500</v>
      </c>
      <c r="D20">
        <v>120</v>
      </c>
      <c r="E20">
        <v>6000</v>
      </c>
      <c r="F20" t="s">
        <v>34</v>
      </c>
    </row>
    <row r="21" spans="1:6" x14ac:dyDescent="0.35">
      <c r="A21" t="s">
        <v>22</v>
      </c>
      <c r="B21">
        <v>8471</v>
      </c>
      <c r="C21">
        <v>1000</v>
      </c>
      <c r="D21">
        <v>20</v>
      </c>
      <c r="E21">
        <v>2000</v>
      </c>
      <c r="F21" t="s">
        <v>34</v>
      </c>
    </row>
    <row r="22" spans="1:6" x14ac:dyDescent="0.35">
      <c r="A22" t="s">
        <v>23</v>
      </c>
      <c r="B22">
        <v>8523</v>
      </c>
      <c r="C22">
        <v>2000</v>
      </c>
      <c r="D22">
        <v>10</v>
      </c>
      <c r="E22">
        <v>2000</v>
      </c>
      <c r="F22" t="s">
        <v>34</v>
      </c>
    </row>
    <row r="23" spans="1:6" x14ac:dyDescent="0.35">
      <c r="A23" t="s">
        <v>21</v>
      </c>
      <c r="B23">
        <v>8528</v>
      </c>
      <c r="C23">
        <v>77</v>
      </c>
      <c r="D23">
        <v>120</v>
      </c>
      <c r="E23">
        <v>6000</v>
      </c>
      <c r="F23" t="s">
        <v>35</v>
      </c>
    </row>
    <row r="24" spans="1:6" x14ac:dyDescent="0.35">
      <c r="A24" t="s">
        <v>22</v>
      </c>
      <c r="B24">
        <v>8471</v>
      </c>
      <c r="C24">
        <v>201</v>
      </c>
      <c r="D24">
        <v>20</v>
      </c>
      <c r="E24">
        <v>2000</v>
      </c>
      <c r="F24" t="s">
        <v>35</v>
      </c>
    </row>
    <row r="25" spans="1:6" x14ac:dyDescent="0.35">
      <c r="A25" t="s">
        <v>23</v>
      </c>
      <c r="B25">
        <v>8523</v>
      </c>
      <c r="C25">
        <v>800</v>
      </c>
      <c r="D25">
        <v>10</v>
      </c>
      <c r="E25">
        <v>2000</v>
      </c>
      <c r="F25" t="s">
        <v>35</v>
      </c>
    </row>
    <row r="26" spans="1:6" x14ac:dyDescent="0.35">
      <c r="A26" t="s">
        <v>21</v>
      </c>
      <c r="B26">
        <v>8528</v>
      </c>
      <c r="C26">
        <v>50</v>
      </c>
      <c r="D26">
        <v>120</v>
      </c>
      <c r="E26">
        <v>6000</v>
      </c>
      <c r="F26" t="s">
        <v>36</v>
      </c>
    </row>
    <row r="27" spans="1:6" x14ac:dyDescent="0.35">
      <c r="A27" t="s">
        <v>22</v>
      </c>
      <c r="B27">
        <v>8471</v>
      </c>
      <c r="C27">
        <v>100</v>
      </c>
      <c r="D27">
        <v>20</v>
      </c>
      <c r="E27">
        <v>2000</v>
      </c>
      <c r="F27" t="s">
        <v>36</v>
      </c>
    </row>
    <row r="28" spans="1:6" x14ac:dyDescent="0.35">
      <c r="A28" t="s">
        <v>23</v>
      </c>
      <c r="B28">
        <v>8523</v>
      </c>
      <c r="C28">
        <v>200</v>
      </c>
      <c r="D28">
        <v>10</v>
      </c>
      <c r="E28">
        <v>2000</v>
      </c>
      <c r="F28" t="s">
        <v>36</v>
      </c>
    </row>
  </sheetData>
  <sheetProtection algorithmName="SHA-512" hashValue="Vhlu2OhcwIt/EKzcDfU/3yLUTOt2c8pvxk2py9/7kp5rx/palkryNazzDOsDiVMxbIufCQv8VkU+FyHGiU+VSA==" saltValue="+Wnq9jn5DiWeP3hV9S1SBA==" spinCount="100000"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1A18-CB6F-4B12-A534-80CFB854B250}">
  <dimension ref="A1:E21"/>
  <sheetViews>
    <sheetView tabSelected="1" workbookViewId="0">
      <selection activeCell="A13" sqref="A13"/>
    </sheetView>
  </sheetViews>
  <sheetFormatPr defaultRowHeight="14.5" x14ac:dyDescent="0.35"/>
  <cols>
    <col min="1" max="1" width="16.36328125" bestFit="1" customWidth="1"/>
    <col min="2" max="2" width="13.81640625" bestFit="1" customWidth="1"/>
    <col min="3" max="3" width="33.7265625" bestFit="1" customWidth="1"/>
    <col min="4" max="4" width="10.7265625" bestFit="1" customWidth="1"/>
    <col min="5" max="5" width="17.54296875" bestFit="1" customWidth="1"/>
  </cols>
  <sheetData>
    <row r="1" spans="1:5" x14ac:dyDescent="0.35">
      <c r="A1" t="s">
        <v>7</v>
      </c>
      <c r="B1" t="s">
        <v>9</v>
      </c>
      <c r="C1" t="s">
        <v>10</v>
      </c>
      <c r="D1" t="s">
        <v>12</v>
      </c>
      <c r="E1" t="s">
        <v>14</v>
      </c>
    </row>
    <row r="2" spans="1:5" x14ac:dyDescent="0.35">
      <c r="A2" t="s">
        <v>8</v>
      </c>
      <c r="B2" s="22">
        <v>46113</v>
      </c>
      <c r="C2" t="s">
        <v>11</v>
      </c>
      <c r="D2" t="s">
        <v>13</v>
      </c>
      <c r="E2" t="s">
        <v>15</v>
      </c>
    </row>
    <row r="3" spans="1:5" x14ac:dyDescent="0.35">
      <c r="A3" t="s">
        <v>37</v>
      </c>
      <c r="B3" s="22">
        <v>46122</v>
      </c>
      <c r="C3" t="s">
        <v>29</v>
      </c>
      <c r="D3" t="s">
        <v>13</v>
      </c>
      <c r="E3" t="s">
        <v>15</v>
      </c>
    </row>
    <row r="4" spans="1:5" x14ac:dyDescent="0.35">
      <c r="A4" t="s">
        <v>44</v>
      </c>
      <c r="B4" s="22">
        <v>46129</v>
      </c>
      <c r="C4" t="s">
        <v>36</v>
      </c>
      <c r="D4" t="s">
        <v>13</v>
      </c>
      <c r="E4" t="s">
        <v>15</v>
      </c>
    </row>
    <row r="5" spans="1:5" x14ac:dyDescent="0.35">
      <c r="A5" t="s">
        <v>37</v>
      </c>
      <c r="B5" s="22">
        <v>46122</v>
      </c>
      <c r="C5" t="s">
        <v>29</v>
      </c>
      <c r="D5" t="s">
        <v>13</v>
      </c>
      <c r="E5" t="s">
        <v>15</v>
      </c>
    </row>
    <row r="6" spans="1:5" x14ac:dyDescent="0.35">
      <c r="A6" t="s">
        <v>38</v>
      </c>
      <c r="B6" s="22">
        <v>46132</v>
      </c>
      <c r="C6" t="s">
        <v>30</v>
      </c>
      <c r="D6" t="s">
        <v>13</v>
      </c>
      <c r="E6" t="s">
        <v>15</v>
      </c>
    </row>
    <row r="7" spans="1:5" x14ac:dyDescent="0.35">
      <c r="A7" t="s">
        <v>39</v>
      </c>
      <c r="B7" s="22">
        <v>46126</v>
      </c>
      <c r="C7" t="s">
        <v>31</v>
      </c>
      <c r="D7" t="s">
        <v>13</v>
      </c>
      <c r="E7" t="s">
        <v>15</v>
      </c>
    </row>
    <row r="8" spans="1:5" x14ac:dyDescent="0.35">
      <c r="A8" t="s">
        <v>40</v>
      </c>
      <c r="B8" s="22">
        <v>46127</v>
      </c>
      <c r="C8" t="s">
        <v>32</v>
      </c>
      <c r="D8" t="s">
        <v>13</v>
      </c>
      <c r="E8" t="s">
        <v>15</v>
      </c>
    </row>
    <row r="9" spans="1:5" x14ac:dyDescent="0.35">
      <c r="A9" t="s">
        <v>41</v>
      </c>
      <c r="B9" s="22">
        <v>46132</v>
      </c>
      <c r="C9" t="s">
        <v>33</v>
      </c>
      <c r="D9" t="s">
        <v>13</v>
      </c>
      <c r="E9" t="s">
        <v>15</v>
      </c>
    </row>
    <row r="10" spans="1:5" x14ac:dyDescent="0.35">
      <c r="A10" t="s">
        <v>42</v>
      </c>
      <c r="B10" s="22">
        <v>46119</v>
      </c>
      <c r="C10" t="s">
        <v>34</v>
      </c>
      <c r="D10" t="s">
        <v>13</v>
      </c>
      <c r="E10" t="s">
        <v>15</v>
      </c>
    </row>
    <row r="11" spans="1:5" x14ac:dyDescent="0.35">
      <c r="A11" t="s">
        <v>43</v>
      </c>
      <c r="B11" s="22">
        <v>46119</v>
      </c>
      <c r="C11" t="s">
        <v>35</v>
      </c>
      <c r="D11" t="s">
        <v>13</v>
      </c>
      <c r="E11" t="s">
        <v>15</v>
      </c>
    </row>
    <row r="12" spans="1:5" x14ac:dyDescent="0.35">
      <c r="A12" t="s">
        <v>47</v>
      </c>
      <c r="B12" s="22">
        <v>46123</v>
      </c>
      <c r="C12" t="s">
        <v>48</v>
      </c>
      <c r="D12" t="s">
        <v>13</v>
      </c>
      <c r="E12" t="s">
        <v>15</v>
      </c>
    </row>
    <row r="13" spans="1:5" x14ac:dyDescent="0.35">
      <c r="B13" s="22"/>
    </row>
    <row r="14" spans="1:5" x14ac:dyDescent="0.35">
      <c r="B14" s="22"/>
    </row>
    <row r="15" spans="1:5" x14ac:dyDescent="0.35">
      <c r="B15" s="22"/>
    </row>
    <row r="16" spans="1:5" x14ac:dyDescent="0.35">
      <c r="B16" s="22"/>
    </row>
    <row r="17" spans="2:2" x14ac:dyDescent="0.35">
      <c r="B17" s="22"/>
    </row>
    <row r="18" spans="2:2" x14ac:dyDescent="0.35">
      <c r="B18" s="22"/>
    </row>
    <row r="19" spans="2:2" x14ac:dyDescent="0.35">
      <c r="B19" s="22"/>
    </row>
    <row r="20" spans="2:2" x14ac:dyDescent="0.35">
      <c r="B20" s="22"/>
    </row>
    <row r="21" spans="2:2" x14ac:dyDescent="0.35">
      <c r="B21" s="22"/>
    </row>
  </sheetData>
  <sheetProtection algorithmName="SHA-512" hashValue="b53jWzQ6cEkQOh8/jMl80OyY5tYYvd6hkUGebWm2xlI/2zBxJbbtMatRGTjGhbm7g7W+JZii8MLOP9C9GNuTEA==" saltValue="n3ozkUh6YuGzdFo6+xg+GQ==" spinCount="100000"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DC33-B99B-49EC-984D-AC2ACAD8FE0A}">
  <dimension ref="A1:E24"/>
  <sheetViews>
    <sheetView workbookViewId="0">
      <selection activeCell="A17" sqref="A17"/>
    </sheetView>
  </sheetViews>
  <sheetFormatPr defaultRowHeight="14.5" x14ac:dyDescent="0.35"/>
  <cols>
    <col min="1" max="1" width="32" bestFit="1" customWidth="1"/>
    <col min="2" max="2" width="31.453125" customWidth="1"/>
    <col min="3" max="3" width="10.54296875" customWidth="1"/>
    <col min="4" max="4" width="17.90625" customWidth="1"/>
    <col min="5" max="5" width="18.90625" customWidth="1"/>
  </cols>
  <sheetData>
    <row r="1" spans="1:5" ht="16.5" x14ac:dyDescent="0.35">
      <c r="A1" s="1" t="s">
        <v>0</v>
      </c>
    </row>
    <row r="2" spans="1:5" ht="16.5" x14ac:dyDescent="0.35">
      <c r="A2" s="1" t="s">
        <v>1</v>
      </c>
    </row>
    <row r="4" spans="1:5" ht="15.5" x14ac:dyDescent="0.35">
      <c r="A4" s="2" t="s">
        <v>2</v>
      </c>
    </row>
    <row r="6" spans="1:5" ht="15.5" x14ac:dyDescent="0.35">
      <c r="A6" s="3" t="s">
        <v>3</v>
      </c>
    </row>
    <row r="7" spans="1:5" x14ac:dyDescent="0.35">
      <c r="A7" s="4" t="s">
        <v>4</v>
      </c>
    </row>
    <row r="8" spans="1:5" x14ac:dyDescent="0.35">
      <c r="A8" s="5"/>
    </row>
    <row r="9" spans="1:5" ht="15" thickBot="1" x14ac:dyDescent="0.4">
      <c r="A9" s="18" t="s">
        <v>5</v>
      </c>
      <c r="B9" s="19" t="s">
        <v>6</v>
      </c>
    </row>
    <row r="10" spans="1:5" ht="15" thickBot="1" x14ac:dyDescent="0.4">
      <c r="A10" s="12" t="s">
        <v>7</v>
      </c>
      <c r="B10" s="16" t="s">
        <v>8</v>
      </c>
    </row>
    <row r="11" spans="1:5" ht="15" thickBot="1" x14ac:dyDescent="0.4">
      <c r="A11" s="15" t="s">
        <v>9</v>
      </c>
      <c r="B11" s="17">
        <v>46113</v>
      </c>
    </row>
    <row r="12" spans="1:5" ht="15" thickBot="1" x14ac:dyDescent="0.4">
      <c r="A12" s="15" t="s">
        <v>10</v>
      </c>
      <c r="B12" s="16" t="s">
        <v>11</v>
      </c>
    </row>
    <row r="13" spans="1:5" ht="15" thickBot="1" x14ac:dyDescent="0.4">
      <c r="A13" s="15" t="s">
        <v>12</v>
      </c>
      <c r="B13" s="16" t="s">
        <v>13</v>
      </c>
    </row>
    <row r="14" spans="1:5" x14ac:dyDescent="0.35">
      <c r="A14" s="20" t="s">
        <v>14</v>
      </c>
      <c r="B14" s="21" t="s">
        <v>15</v>
      </c>
    </row>
    <row r="15" spans="1:5" x14ac:dyDescent="0.35">
      <c r="A15" s="5"/>
    </row>
    <row r="16" spans="1:5" ht="15" thickBot="1" x14ac:dyDescent="0.4">
      <c r="A16" s="18" t="s">
        <v>16</v>
      </c>
      <c r="B16" s="25" t="s">
        <v>17</v>
      </c>
      <c r="C16" s="25" t="s">
        <v>18</v>
      </c>
      <c r="D16" s="25" t="s">
        <v>19</v>
      </c>
      <c r="E16" s="19" t="s">
        <v>20</v>
      </c>
    </row>
    <row r="17" spans="1:5" ht="15" thickBot="1" x14ac:dyDescent="0.4">
      <c r="A17" s="23" t="s">
        <v>21</v>
      </c>
      <c r="B17" s="8">
        <v>8528</v>
      </c>
      <c r="C17" s="8">
        <v>50</v>
      </c>
      <c r="D17" s="8">
        <v>120</v>
      </c>
      <c r="E17" s="24">
        <v>6000</v>
      </c>
    </row>
    <row r="18" spans="1:5" ht="15" thickBot="1" x14ac:dyDescent="0.4">
      <c r="A18" s="13" t="s">
        <v>22</v>
      </c>
      <c r="B18" s="8">
        <v>8471</v>
      </c>
      <c r="C18" s="8">
        <v>100</v>
      </c>
      <c r="D18" s="8">
        <v>20</v>
      </c>
      <c r="E18" s="24">
        <v>2000</v>
      </c>
    </row>
    <row r="19" spans="1:5" x14ac:dyDescent="0.35">
      <c r="A19" s="14" t="s">
        <v>23</v>
      </c>
      <c r="B19" s="26">
        <v>8523</v>
      </c>
      <c r="C19" s="26">
        <v>200</v>
      </c>
      <c r="D19" s="26">
        <v>10</v>
      </c>
      <c r="E19" s="27">
        <v>2000</v>
      </c>
    </row>
    <row r="20" spans="1:5" ht="15" thickBot="1" x14ac:dyDescent="0.4">
      <c r="A20" s="5"/>
    </row>
    <row r="21" spans="1:5" ht="15" thickBot="1" x14ac:dyDescent="0.4">
      <c r="A21" s="6" t="s">
        <v>24</v>
      </c>
      <c r="B21" s="6" t="s">
        <v>25</v>
      </c>
    </row>
    <row r="22" spans="1:5" ht="15" thickBot="1" x14ac:dyDescent="0.4">
      <c r="A22" s="9" t="s">
        <v>26</v>
      </c>
      <c r="B22" s="10">
        <v>10000</v>
      </c>
    </row>
    <row r="23" spans="1:5" ht="15" thickBot="1" x14ac:dyDescent="0.4">
      <c r="A23" s="9" t="s">
        <v>27</v>
      </c>
      <c r="B23" s="9">
        <v>500</v>
      </c>
    </row>
    <row r="24" spans="1:5" ht="15" thickBot="1" x14ac:dyDescent="0.4">
      <c r="A24" s="7" t="s">
        <v>28</v>
      </c>
      <c r="B24" s="11">
        <v>10500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2E9F-6FE1-47CA-8D10-F13D88035639}">
  <dimension ref="A1:E24"/>
  <sheetViews>
    <sheetView workbookViewId="0">
      <selection activeCell="A18" sqref="A18"/>
    </sheetView>
  </sheetViews>
  <sheetFormatPr defaultRowHeight="14.5" x14ac:dyDescent="0.35"/>
  <cols>
    <col min="1" max="1" width="32" bestFit="1" customWidth="1"/>
    <col min="2" max="2" width="31.453125" customWidth="1"/>
    <col min="3" max="3" width="10.54296875" customWidth="1"/>
    <col min="4" max="4" width="17.90625" customWidth="1"/>
    <col min="5" max="5" width="18.90625" customWidth="1"/>
  </cols>
  <sheetData>
    <row r="1" spans="1:5" ht="16.5" x14ac:dyDescent="0.35">
      <c r="A1" s="1" t="s">
        <v>0</v>
      </c>
    </row>
    <row r="2" spans="1:5" ht="16.5" x14ac:dyDescent="0.35">
      <c r="A2" s="1" t="s">
        <v>1</v>
      </c>
    </row>
    <row r="4" spans="1:5" ht="15.5" x14ac:dyDescent="0.35">
      <c r="A4" s="2" t="s">
        <v>2</v>
      </c>
    </row>
    <row r="6" spans="1:5" ht="15.5" x14ac:dyDescent="0.35">
      <c r="A6" s="3" t="s">
        <v>3</v>
      </c>
    </row>
    <row r="7" spans="1:5" x14ac:dyDescent="0.35">
      <c r="A7" s="4" t="s">
        <v>31</v>
      </c>
    </row>
    <row r="8" spans="1:5" x14ac:dyDescent="0.35">
      <c r="A8" s="5"/>
    </row>
    <row r="9" spans="1:5" ht="15" thickBot="1" x14ac:dyDescent="0.4">
      <c r="A9" s="18" t="s">
        <v>5</v>
      </c>
      <c r="B9" s="19" t="s">
        <v>6</v>
      </c>
    </row>
    <row r="10" spans="1:5" ht="15" thickBot="1" x14ac:dyDescent="0.4">
      <c r="A10" s="12" t="s">
        <v>7</v>
      </c>
      <c r="B10" s="16" t="s">
        <v>39</v>
      </c>
    </row>
    <row r="11" spans="1:5" ht="15" thickBot="1" x14ac:dyDescent="0.4">
      <c r="A11" s="15" t="s">
        <v>9</v>
      </c>
      <c r="B11" s="17">
        <v>46126</v>
      </c>
    </row>
    <row r="12" spans="1:5" ht="15" thickBot="1" x14ac:dyDescent="0.4">
      <c r="A12" s="15" t="s">
        <v>10</v>
      </c>
      <c r="B12" s="4" t="s">
        <v>31</v>
      </c>
    </row>
    <row r="13" spans="1:5" ht="15" thickBot="1" x14ac:dyDescent="0.4">
      <c r="A13" s="15" t="s">
        <v>12</v>
      </c>
      <c r="B13" s="16" t="s">
        <v>13</v>
      </c>
    </row>
    <row r="14" spans="1:5" x14ac:dyDescent="0.35">
      <c r="A14" s="20" t="s">
        <v>14</v>
      </c>
      <c r="B14" s="21" t="s">
        <v>15</v>
      </c>
    </row>
    <row r="15" spans="1:5" x14ac:dyDescent="0.35">
      <c r="A15" s="5"/>
    </row>
    <row r="16" spans="1:5" ht="15" thickBot="1" x14ac:dyDescent="0.4">
      <c r="A16" s="18" t="s">
        <v>16</v>
      </c>
      <c r="B16" s="25" t="s">
        <v>17</v>
      </c>
      <c r="C16" s="25" t="s">
        <v>18</v>
      </c>
      <c r="D16" s="25" t="s">
        <v>19</v>
      </c>
      <c r="E16" s="19" t="s">
        <v>20</v>
      </c>
    </row>
    <row r="17" spans="1:5" ht="15" thickBot="1" x14ac:dyDescent="0.4">
      <c r="A17" s="23" t="s">
        <v>21</v>
      </c>
      <c r="B17" s="8">
        <v>8528</v>
      </c>
      <c r="C17" s="8">
        <v>500</v>
      </c>
      <c r="D17" s="8">
        <v>120</v>
      </c>
      <c r="E17" s="24">
        <v>6000</v>
      </c>
    </row>
    <row r="18" spans="1:5" ht="15" thickBot="1" x14ac:dyDescent="0.4">
      <c r="A18" s="13" t="s">
        <v>22</v>
      </c>
      <c r="B18" s="8">
        <v>8471</v>
      </c>
      <c r="C18" s="8">
        <v>10</v>
      </c>
      <c r="D18" s="8">
        <v>20</v>
      </c>
      <c r="E18" s="24">
        <v>2000</v>
      </c>
    </row>
    <row r="19" spans="1:5" x14ac:dyDescent="0.35">
      <c r="A19" s="14" t="s">
        <v>23</v>
      </c>
      <c r="B19" s="26">
        <v>8523</v>
      </c>
      <c r="C19" s="26">
        <v>20</v>
      </c>
      <c r="D19" s="26">
        <v>10</v>
      </c>
      <c r="E19" s="27">
        <v>2000</v>
      </c>
    </row>
    <row r="20" spans="1:5" ht="15" thickBot="1" x14ac:dyDescent="0.4">
      <c r="A20" s="5"/>
    </row>
    <row r="21" spans="1:5" ht="15" thickBot="1" x14ac:dyDescent="0.4">
      <c r="A21" s="6" t="s">
        <v>24</v>
      </c>
      <c r="B21" s="6" t="s">
        <v>25</v>
      </c>
    </row>
    <row r="22" spans="1:5" ht="15" thickBot="1" x14ac:dyDescent="0.4">
      <c r="A22" s="9" t="s">
        <v>26</v>
      </c>
      <c r="B22" s="10">
        <v>10000</v>
      </c>
    </row>
    <row r="23" spans="1:5" ht="15" thickBot="1" x14ac:dyDescent="0.4">
      <c r="A23" s="9" t="s">
        <v>27</v>
      </c>
      <c r="B23" s="9">
        <v>500</v>
      </c>
    </row>
    <row r="24" spans="1:5" ht="15" thickBot="1" x14ac:dyDescent="0.4">
      <c r="A24" s="7" t="s">
        <v>28</v>
      </c>
      <c r="B24" s="11">
        <v>10500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EC6B-9D62-43E8-8734-778721A20C3D}">
  <dimension ref="A1:E24"/>
  <sheetViews>
    <sheetView workbookViewId="0">
      <selection activeCell="A2" sqref="A1:A2"/>
    </sheetView>
  </sheetViews>
  <sheetFormatPr defaultRowHeight="14.5" x14ac:dyDescent="0.35"/>
  <cols>
    <col min="1" max="1" width="32" bestFit="1" customWidth="1"/>
    <col min="2" max="2" width="31.453125" customWidth="1"/>
    <col min="3" max="3" width="10.54296875" customWidth="1"/>
    <col min="4" max="4" width="17.90625" customWidth="1"/>
    <col min="5" max="5" width="18.90625" customWidth="1"/>
  </cols>
  <sheetData>
    <row r="1" spans="1:5" ht="16.5" x14ac:dyDescent="0.35">
      <c r="A1" s="1" t="s">
        <v>0</v>
      </c>
    </row>
    <row r="2" spans="1:5" ht="16.5" x14ac:dyDescent="0.35">
      <c r="A2" s="1" t="s">
        <v>1</v>
      </c>
    </row>
    <row r="4" spans="1:5" ht="15.5" x14ac:dyDescent="0.35">
      <c r="A4" s="2" t="s">
        <v>2</v>
      </c>
    </row>
    <row r="6" spans="1:5" ht="15.5" x14ac:dyDescent="0.35">
      <c r="A6" s="3" t="s">
        <v>3</v>
      </c>
    </row>
    <row r="7" spans="1:5" x14ac:dyDescent="0.35">
      <c r="A7" s="4" t="s">
        <v>29</v>
      </c>
    </row>
    <row r="8" spans="1:5" x14ac:dyDescent="0.35">
      <c r="A8" s="5"/>
    </row>
    <row r="9" spans="1:5" ht="15" thickBot="1" x14ac:dyDescent="0.4">
      <c r="A9" s="18" t="s">
        <v>5</v>
      </c>
      <c r="B9" s="19" t="s">
        <v>6</v>
      </c>
    </row>
    <row r="10" spans="1:5" ht="15" thickBot="1" x14ac:dyDescent="0.4">
      <c r="A10" s="12" t="s">
        <v>7</v>
      </c>
      <c r="B10" s="16" t="s">
        <v>37</v>
      </c>
    </row>
    <row r="11" spans="1:5" ht="15" thickBot="1" x14ac:dyDescent="0.4">
      <c r="A11" s="15" t="s">
        <v>9</v>
      </c>
      <c r="B11" s="17">
        <v>46122</v>
      </c>
    </row>
    <row r="12" spans="1:5" ht="15" thickBot="1" x14ac:dyDescent="0.4">
      <c r="A12" s="15" t="s">
        <v>10</v>
      </c>
      <c r="B12" s="4" t="s">
        <v>29</v>
      </c>
    </row>
    <row r="13" spans="1:5" ht="15" thickBot="1" x14ac:dyDescent="0.4">
      <c r="A13" s="15" t="s">
        <v>12</v>
      </c>
      <c r="B13" s="16" t="s">
        <v>13</v>
      </c>
    </row>
    <row r="14" spans="1:5" x14ac:dyDescent="0.35">
      <c r="A14" s="20" t="s">
        <v>14</v>
      </c>
      <c r="B14" s="21" t="s">
        <v>15</v>
      </c>
    </row>
    <row r="15" spans="1:5" x14ac:dyDescent="0.35">
      <c r="A15" s="5"/>
    </row>
    <row r="16" spans="1:5" ht="15" thickBot="1" x14ac:dyDescent="0.4">
      <c r="A16" s="18" t="s">
        <v>16</v>
      </c>
      <c r="B16" s="25" t="s">
        <v>17</v>
      </c>
      <c r="C16" s="25" t="s">
        <v>18</v>
      </c>
      <c r="D16" s="25" t="s">
        <v>19</v>
      </c>
      <c r="E16" s="19" t="s">
        <v>20</v>
      </c>
    </row>
    <row r="17" spans="1:5" ht="15" thickBot="1" x14ac:dyDescent="0.4">
      <c r="A17" s="23" t="s">
        <v>21</v>
      </c>
      <c r="B17" s="8">
        <v>8528</v>
      </c>
      <c r="C17" s="8">
        <v>50</v>
      </c>
      <c r="D17" s="8">
        <v>120</v>
      </c>
      <c r="E17" s="24">
        <v>6000</v>
      </c>
    </row>
    <row r="18" spans="1:5" ht="15" thickBot="1" x14ac:dyDescent="0.4">
      <c r="A18" s="13" t="s">
        <v>22</v>
      </c>
      <c r="B18" s="8">
        <v>8471</v>
      </c>
      <c r="C18" s="8">
        <v>100</v>
      </c>
      <c r="D18" s="8">
        <v>20</v>
      </c>
      <c r="E18" s="24">
        <v>2000</v>
      </c>
    </row>
    <row r="19" spans="1:5" x14ac:dyDescent="0.35">
      <c r="A19" s="14" t="s">
        <v>23</v>
      </c>
      <c r="B19" s="26">
        <v>8523</v>
      </c>
      <c r="C19" s="26">
        <v>200</v>
      </c>
      <c r="D19" s="26">
        <v>10</v>
      </c>
      <c r="E19" s="27">
        <v>2000</v>
      </c>
    </row>
    <row r="20" spans="1:5" ht="15" thickBot="1" x14ac:dyDescent="0.4">
      <c r="A20" s="5"/>
    </row>
    <row r="21" spans="1:5" ht="15" thickBot="1" x14ac:dyDescent="0.4">
      <c r="A21" s="6" t="s">
        <v>24</v>
      </c>
      <c r="B21" s="6" t="s">
        <v>25</v>
      </c>
    </row>
    <row r="22" spans="1:5" ht="15" thickBot="1" x14ac:dyDescent="0.4">
      <c r="A22" s="9" t="s">
        <v>26</v>
      </c>
      <c r="B22" s="10">
        <v>10000</v>
      </c>
    </row>
    <row r="23" spans="1:5" ht="15" thickBot="1" x14ac:dyDescent="0.4">
      <c r="A23" s="9" t="s">
        <v>27</v>
      </c>
      <c r="B23" s="9">
        <v>500</v>
      </c>
    </row>
    <row r="24" spans="1:5" ht="15" thickBot="1" x14ac:dyDescent="0.4">
      <c r="A24" s="7" t="s">
        <v>28</v>
      </c>
      <c r="B24" s="11">
        <v>10500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0613-40F6-467B-A8A7-16ADAC001B12}">
  <dimension ref="A1:E24"/>
  <sheetViews>
    <sheetView workbookViewId="0">
      <selection activeCell="A16" sqref="A16:E19"/>
    </sheetView>
  </sheetViews>
  <sheetFormatPr defaultRowHeight="14.5" x14ac:dyDescent="0.35"/>
  <cols>
    <col min="1" max="1" width="32" bestFit="1" customWidth="1"/>
    <col min="2" max="2" width="31.6328125" bestFit="1" customWidth="1"/>
    <col min="3" max="3" width="14.26953125" customWidth="1"/>
    <col min="4" max="4" width="17.90625" customWidth="1"/>
    <col min="5" max="5" width="18.90625" customWidth="1"/>
  </cols>
  <sheetData>
    <row r="1" spans="1:5" ht="16.5" x14ac:dyDescent="0.35">
      <c r="A1" s="1" t="s">
        <v>0</v>
      </c>
    </row>
    <row r="2" spans="1:5" ht="16.5" x14ac:dyDescent="0.35">
      <c r="A2" s="1" t="s">
        <v>1</v>
      </c>
    </row>
    <row r="4" spans="1:5" ht="15.5" x14ac:dyDescent="0.35">
      <c r="A4" s="2" t="s">
        <v>2</v>
      </c>
    </row>
    <row r="6" spans="1:5" ht="15.5" x14ac:dyDescent="0.35">
      <c r="A6" s="3" t="s">
        <v>3</v>
      </c>
    </row>
    <row r="7" spans="1:5" x14ac:dyDescent="0.35">
      <c r="A7" s="4" t="s">
        <v>30</v>
      </c>
    </row>
    <row r="8" spans="1:5" x14ac:dyDescent="0.35">
      <c r="A8" s="5"/>
    </row>
    <row r="9" spans="1:5" ht="15" thickBot="1" x14ac:dyDescent="0.4">
      <c r="A9" s="18" t="s">
        <v>5</v>
      </c>
      <c r="B9" s="19" t="s">
        <v>6</v>
      </c>
    </row>
    <row r="10" spans="1:5" ht="15" thickBot="1" x14ac:dyDescent="0.4">
      <c r="A10" s="12" t="s">
        <v>7</v>
      </c>
      <c r="B10" s="16" t="s">
        <v>38</v>
      </c>
    </row>
    <row r="11" spans="1:5" ht="15" thickBot="1" x14ac:dyDescent="0.4">
      <c r="A11" s="15" t="s">
        <v>9</v>
      </c>
      <c r="B11" s="17">
        <v>46132</v>
      </c>
    </row>
    <row r="12" spans="1:5" ht="15" thickBot="1" x14ac:dyDescent="0.4">
      <c r="A12" s="15" t="s">
        <v>10</v>
      </c>
      <c r="B12" s="4" t="s">
        <v>30</v>
      </c>
    </row>
    <row r="13" spans="1:5" ht="15" thickBot="1" x14ac:dyDescent="0.4">
      <c r="A13" s="15" t="s">
        <v>12</v>
      </c>
      <c r="B13" s="16" t="s">
        <v>13</v>
      </c>
    </row>
    <row r="14" spans="1:5" x14ac:dyDescent="0.35">
      <c r="A14" s="20" t="s">
        <v>14</v>
      </c>
      <c r="B14" s="21" t="s">
        <v>15</v>
      </c>
    </row>
    <row r="15" spans="1:5" x14ac:dyDescent="0.35">
      <c r="A15" s="5"/>
    </row>
    <row r="16" spans="1:5" ht="15" thickBot="1" x14ac:dyDescent="0.4">
      <c r="A16" s="18" t="s">
        <v>16</v>
      </c>
      <c r="B16" s="25" t="s">
        <v>17</v>
      </c>
      <c r="C16" s="25" t="s">
        <v>18</v>
      </c>
      <c r="D16" s="25" t="s">
        <v>19</v>
      </c>
      <c r="E16" s="19" t="s">
        <v>20</v>
      </c>
    </row>
    <row r="17" spans="1:5" ht="15" thickBot="1" x14ac:dyDescent="0.4">
      <c r="A17" s="23" t="s">
        <v>21</v>
      </c>
      <c r="B17" s="8">
        <v>8528</v>
      </c>
      <c r="C17" s="8">
        <v>25</v>
      </c>
      <c r="D17" s="8">
        <v>120</v>
      </c>
      <c r="E17" s="24">
        <v>6000</v>
      </c>
    </row>
    <row r="18" spans="1:5" ht="15" thickBot="1" x14ac:dyDescent="0.4">
      <c r="A18" s="13" t="s">
        <v>22</v>
      </c>
      <c r="B18" s="8">
        <v>8471</v>
      </c>
      <c r="C18" s="8">
        <v>50</v>
      </c>
      <c r="D18" s="8">
        <v>20</v>
      </c>
      <c r="E18" s="24">
        <v>2000</v>
      </c>
    </row>
    <row r="19" spans="1:5" x14ac:dyDescent="0.35">
      <c r="A19" s="14" t="s">
        <v>23</v>
      </c>
      <c r="B19" s="26">
        <v>8523</v>
      </c>
      <c r="C19" s="26">
        <v>200</v>
      </c>
      <c r="D19" s="26">
        <v>10</v>
      </c>
      <c r="E19" s="27">
        <v>2000</v>
      </c>
    </row>
    <row r="20" spans="1:5" ht="15" thickBot="1" x14ac:dyDescent="0.4">
      <c r="A20" s="5"/>
    </row>
    <row r="21" spans="1:5" ht="15" thickBot="1" x14ac:dyDescent="0.4">
      <c r="A21" s="6" t="s">
        <v>24</v>
      </c>
      <c r="B21" s="6" t="s">
        <v>25</v>
      </c>
    </row>
    <row r="22" spans="1:5" ht="15" thickBot="1" x14ac:dyDescent="0.4">
      <c r="A22" s="9" t="s">
        <v>26</v>
      </c>
      <c r="B22" s="10">
        <v>10000</v>
      </c>
    </row>
    <row r="23" spans="1:5" ht="15" thickBot="1" x14ac:dyDescent="0.4">
      <c r="A23" s="9" t="s">
        <v>27</v>
      </c>
      <c r="B23" s="9">
        <v>500</v>
      </c>
    </row>
    <row r="24" spans="1:5" ht="15" thickBot="1" x14ac:dyDescent="0.4">
      <c r="A24" s="7" t="s">
        <v>28</v>
      </c>
      <c r="B24" s="11">
        <v>10500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DD7D-EA95-4876-A66E-64ADA464A84C}">
  <dimension ref="A1:E24"/>
  <sheetViews>
    <sheetView topLeftCell="A9" workbookViewId="0">
      <selection activeCell="C13" sqref="C13"/>
    </sheetView>
  </sheetViews>
  <sheetFormatPr defaultRowHeight="14.5" x14ac:dyDescent="0.35"/>
  <cols>
    <col min="1" max="1" width="32" bestFit="1" customWidth="1"/>
    <col min="2" max="2" width="35.6328125" bestFit="1" customWidth="1"/>
    <col min="3" max="3" width="10.54296875" customWidth="1"/>
    <col min="4" max="4" width="17.90625" customWidth="1"/>
    <col min="5" max="5" width="18.90625" customWidth="1"/>
  </cols>
  <sheetData>
    <row r="1" spans="1:5" ht="16.5" x14ac:dyDescent="0.35">
      <c r="A1" s="1" t="s">
        <v>0</v>
      </c>
    </row>
    <row r="2" spans="1:5" ht="16.5" x14ac:dyDescent="0.35">
      <c r="A2" s="1" t="s">
        <v>1</v>
      </c>
    </row>
    <row r="4" spans="1:5" ht="15.5" x14ac:dyDescent="0.35">
      <c r="A4" s="2" t="s">
        <v>2</v>
      </c>
    </row>
    <row r="6" spans="1:5" ht="15.5" x14ac:dyDescent="0.35">
      <c r="A6" s="3" t="s">
        <v>3</v>
      </c>
    </row>
    <row r="7" spans="1:5" x14ac:dyDescent="0.35">
      <c r="A7" s="4" t="s">
        <v>32</v>
      </c>
    </row>
    <row r="8" spans="1:5" x14ac:dyDescent="0.35">
      <c r="A8" s="5"/>
    </row>
    <row r="9" spans="1:5" ht="15" thickBot="1" x14ac:dyDescent="0.4">
      <c r="A9" s="18" t="s">
        <v>5</v>
      </c>
      <c r="B9" s="19" t="s">
        <v>6</v>
      </c>
    </row>
    <row r="10" spans="1:5" ht="15" thickBot="1" x14ac:dyDescent="0.4">
      <c r="A10" s="12" t="s">
        <v>7</v>
      </c>
      <c r="B10" s="16" t="s">
        <v>40</v>
      </c>
    </row>
    <row r="11" spans="1:5" ht="15" thickBot="1" x14ac:dyDescent="0.4">
      <c r="A11" s="15" t="s">
        <v>9</v>
      </c>
      <c r="B11" s="17">
        <v>46127</v>
      </c>
    </row>
    <row r="12" spans="1:5" ht="15" thickBot="1" x14ac:dyDescent="0.4">
      <c r="A12" s="15" t="s">
        <v>10</v>
      </c>
      <c r="B12" s="4" t="s">
        <v>32</v>
      </c>
    </row>
    <row r="13" spans="1:5" ht="15" thickBot="1" x14ac:dyDescent="0.4">
      <c r="A13" s="15" t="s">
        <v>12</v>
      </c>
      <c r="B13" s="16" t="s">
        <v>13</v>
      </c>
    </row>
    <row r="14" spans="1:5" x14ac:dyDescent="0.35">
      <c r="A14" s="20" t="s">
        <v>14</v>
      </c>
      <c r="B14" s="21" t="s">
        <v>15</v>
      </c>
    </row>
    <row r="15" spans="1:5" x14ac:dyDescent="0.35">
      <c r="A15" s="5"/>
    </row>
    <row r="16" spans="1:5" ht="15" thickBot="1" x14ac:dyDescent="0.4">
      <c r="A16" s="18" t="s">
        <v>16</v>
      </c>
      <c r="B16" s="25" t="s">
        <v>17</v>
      </c>
      <c r="C16" s="25" t="s">
        <v>18</v>
      </c>
      <c r="D16" s="25" t="s">
        <v>19</v>
      </c>
      <c r="E16" s="19" t="s">
        <v>20</v>
      </c>
    </row>
    <row r="17" spans="1:5" ht="15" thickBot="1" x14ac:dyDescent="0.4">
      <c r="A17" s="23" t="s">
        <v>21</v>
      </c>
      <c r="B17" s="8">
        <v>8528</v>
      </c>
      <c r="C17" s="8">
        <v>100</v>
      </c>
      <c r="D17" s="8">
        <v>120</v>
      </c>
      <c r="E17" s="24">
        <v>6000</v>
      </c>
    </row>
    <row r="18" spans="1:5" ht="15" thickBot="1" x14ac:dyDescent="0.4">
      <c r="A18" s="13" t="s">
        <v>22</v>
      </c>
      <c r="B18" s="8">
        <v>8471</v>
      </c>
      <c r="C18" s="8">
        <v>500</v>
      </c>
      <c r="D18" s="8">
        <v>20</v>
      </c>
      <c r="E18" s="24">
        <v>2000</v>
      </c>
    </row>
    <row r="19" spans="1:5" x14ac:dyDescent="0.35">
      <c r="A19" s="14" t="s">
        <v>23</v>
      </c>
      <c r="B19" s="26">
        <v>8523</v>
      </c>
      <c r="C19" s="26">
        <v>100</v>
      </c>
      <c r="D19" s="26">
        <v>10</v>
      </c>
      <c r="E19" s="27">
        <v>2000</v>
      </c>
    </row>
    <row r="20" spans="1:5" ht="15" thickBot="1" x14ac:dyDescent="0.4">
      <c r="A20" s="5"/>
    </row>
    <row r="21" spans="1:5" ht="15" thickBot="1" x14ac:dyDescent="0.4">
      <c r="A21" s="6" t="s">
        <v>24</v>
      </c>
      <c r="B21" s="6" t="s">
        <v>25</v>
      </c>
    </row>
    <row r="22" spans="1:5" ht="15" thickBot="1" x14ac:dyDescent="0.4">
      <c r="A22" s="9" t="s">
        <v>26</v>
      </c>
      <c r="B22" s="10">
        <v>10000</v>
      </c>
    </row>
    <row r="23" spans="1:5" ht="15" thickBot="1" x14ac:dyDescent="0.4">
      <c r="A23" s="9" t="s">
        <v>27</v>
      </c>
      <c r="B23" s="9">
        <v>500</v>
      </c>
    </row>
    <row r="24" spans="1:5" ht="15" thickBot="1" x14ac:dyDescent="0.4">
      <c r="A24" s="7" t="s">
        <v>28</v>
      </c>
      <c r="B24" s="11">
        <v>10500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50AD-EAE6-41E5-884F-C9FF160D2DB0}">
  <dimension ref="A1:E24"/>
  <sheetViews>
    <sheetView topLeftCell="A14" workbookViewId="0">
      <selection activeCell="A17" sqref="A17:E19"/>
    </sheetView>
  </sheetViews>
  <sheetFormatPr defaultRowHeight="14.5" x14ac:dyDescent="0.35"/>
  <cols>
    <col min="1" max="1" width="32" bestFit="1" customWidth="1"/>
    <col min="2" max="2" width="35.08984375" bestFit="1" customWidth="1"/>
    <col min="3" max="3" width="10.54296875" customWidth="1"/>
    <col min="4" max="4" width="17.90625" customWidth="1"/>
    <col min="5" max="5" width="18.90625" customWidth="1"/>
  </cols>
  <sheetData>
    <row r="1" spans="1:5" ht="16.5" x14ac:dyDescent="0.35">
      <c r="A1" s="1" t="s">
        <v>0</v>
      </c>
    </row>
    <row r="2" spans="1:5" ht="16.5" x14ac:dyDescent="0.35">
      <c r="A2" s="1" t="s">
        <v>1</v>
      </c>
    </row>
    <row r="4" spans="1:5" ht="15.5" x14ac:dyDescent="0.35">
      <c r="A4" s="2" t="s">
        <v>2</v>
      </c>
    </row>
    <row r="6" spans="1:5" ht="15.5" x14ac:dyDescent="0.35">
      <c r="A6" s="3" t="s">
        <v>3</v>
      </c>
    </row>
    <row r="7" spans="1:5" x14ac:dyDescent="0.35">
      <c r="A7" s="4" t="s">
        <v>33</v>
      </c>
    </row>
    <row r="8" spans="1:5" x14ac:dyDescent="0.35">
      <c r="A8" s="5"/>
    </row>
    <row r="9" spans="1:5" ht="15" thickBot="1" x14ac:dyDescent="0.4">
      <c r="A9" s="18" t="s">
        <v>5</v>
      </c>
      <c r="B9" s="19" t="s">
        <v>6</v>
      </c>
    </row>
    <row r="10" spans="1:5" ht="15" thickBot="1" x14ac:dyDescent="0.4">
      <c r="A10" s="12" t="s">
        <v>7</v>
      </c>
      <c r="B10" s="16" t="s">
        <v>41</v>
      </c>
    </row>
    <row r="11" spans="1:5" ht="15" thickBot="1" x14ac:dyDescent="0.4">
      <c r="A11" s="15" t="s">
        <v>9</v>
      </c>
      <c r="B11" s="17">
        <v>46132</v>
      </c>
    </row>
    <row r="12" spans="1:5" ht="15" thickBot="1" x14ac:dyDescent="0.4">
      <c r="A12" s="15" t="s">
        <v>10</v>
      </c>
      <c r="B12" s="4" t="s">
        <v>33</v>
      </c>
    </row>
    <row r="13" spans="1:5" ht="15" thickBot="1" x14ac:dyDescent="0.4">
      <c r="A13" s="15" t="s">
        <v>12</v>
      </c>
      <c r="B13" s="16" t="s">
        <v>13</v>
      </c>
    </row>
    <row r="14" spans="1:5" x14ac:dyDescent="0.35">
      <c r="A14" s="20" t="s">
        <v>14</v>
      </c>
      <c r="B14" s="21" t="s">
        <v>15</v>
      </c>
    </row>
    <row r="15" spans="1:5" x14ac:dyDescent="0.35">
      <c r="A15" s="5"/>
    </row>
    <row r="16" spans="1:5" ht="15" thickBot="1" x14ac:dyDescent="0.4">
      <c r="A16" s="18" t="s">
        <v>16</v>
      </c>
      <c r="B16" s="25" t="s">
        <v>17</v>
      </c>
      <c r="C16" s="25" t="s">
        <v>18</v>
      </c>
      <c r="D16" s="25" t="s">
        <v>19</v>
      </c>
      <c r="E16" s="19" t="s">
        <v>20</v>
      </c>
    </row>
    <row r="17" spans="1:5" ht="15" thickBot="1" x14ac:dyDescent="0.4">
      <c r="A17" s="23" t="s">
        <v>21</v>
      </c>
      <c r="B17" s="8">
        <v>8528</v>
      </c>
      <c r="C17" s="8">
        <v>5</v>
      </c>
      <c r="D17" s="8">
        <v>120</v>
      </c>
      <c r="E17" s="24">
        <v>6000</v>
      </c>
    </row>
    <row r="18" spans="1:5" ht="15" thickBot="1" x14ac:dyDescent="0.4">
      <c r="A18" s="13" t="s">
        <v>22</v>
      </c>
      <c r="B18" s="8">
        <v>8471</v>
      </c>
      <c r="C18" s="8">
        <v>90</v>
      </c>
      <c r="D18" s="8">
        <v>20</v>
      </c>
      <c r="E18" s="24">
        <v>2000</v>
      </c>
    </row>
    <row r="19" spans="1:5" x14ac:dyDescent="0.35">
      <c r="A19" s="14" t="s">
        <v>23</v>
      </c>
      <c r="B19" s="26">
        <v>8523</v>
      </c>
      <c r="C19" s="26">
        <v>178</v>
      </c>
      <c r="D19" s="26">
        <v>10</v>
      </c>
      <c r="E19" s="27">
        <v>2000</v>
      </c>
    </row>
    <row r="20" spans="1:5" ht="15" thickBot="1" x14ac:dyDescent="0.4">
      <c r="A20" s="5"/>
    </row>
    <row r="21" spans="1:5" ht="15" thickBot="1" x14ac:dyDescent="0.4">
      <c r="A21" s="6" t="s">
        <v>24</v>
      </c>
      <c r="B21" s="6" t="s">
        <v>25</v>
      </c>
    </row>
    <row r="22" spans="1:5" ht="15" thickBot="1" x14ac:dyDescent="0.4">
      <c r="A22" s="9" t="s">
        <v>26</v>
      </c>
      <c r="B22" s="10">
        <v>10000</v>
      </c>
    </row>
    <row r="23" spans="1:5" ht="15" thickBot="1" x14ac:dyDescent="0.4">
      <c r="A23" s="9" t="s">
        <v>27</v>
      </c>
      <c r="B23" s="9">
        <v>500</v>
      </c>
    </row>
    <row r="24" spans="1:5" ht="15" thickBot="1" x14ac:dyDescent="0.4">
      <c r="A24" s="7" t="s">
        <v>28</v>
      </c>
      <c r="B24" s="11">
        <v>10500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A502-0FE1-4ACE-842F-8C6D5B3DA01D}">
  <dimension ref="A1:E24"/>
  <sheetViews>
    <sheetView topLeftCell="A10" workbookViewId="0">
      <selection activeCell="A16" sqref="A16:E19"/>
    </sheetView>
  </sheetViews>
  <sheetFormatPr defaultRowHeight="14.5" x14ac:dyDescent="0.35"/>
  <cols>
    <col min="1" max="1" width="32" bestFit="1" customWidth="1"/>
    <col min="2" max="2" width="32.453125" bestFit="1" customWidth="1"/>
    <col min="3" max="3" width="10.54296875" customWidth="1"/>
    <col min="4" max="4" width="17.90625" customWidth="1"/>
    <col min="5" max="5" width="18.90625" customWidth="1"/>
  </cols>
  <sheetData>
    <row r="1" spans="1:5" ht="16.5" x14ac:dyDescent="0.35">
      <c r="A1" s="1" t="s">
        <v>0</v>
      </c>
    </row>
    <row r="2" spans="1:5" ht="16.5" x14ac:dyDescent="0.35">
      <c r="A2" s="1" t="s">
        <v>1</v>
      </c>
    </row>
    <row r="4" spans="1:5" ht="15.5" x14ac:dyDescent="0.35">
      <c r="A4" s="2" t="s">
        <v>2</v>
      </c>
    </row>
    <row r="6" spans="1:5" ht="15.5" x14ac:dyDescent="0.35">
      <c r="A6" s="3" t="s">
        <v>3</v>
      </c>
    </row>
    <row r="7" spans="1:5" x14ac:dyDescent="0.35">
      <c r="A7" s="4" t="s">
        <v>34</v>
      </c>
    </row>
    <row r="8" spans="1:5" x14ac:dyDescent="0.35">
      <c r="A8" s="5"/>
    </row>
    <row r="9" spans="1:5" ht="15" thickBot="1" x14ac:dyDescent="0.4">
      <c r="A9" s="18" t="s">
        <v>5</v>
      </c>
      <c r="B9" s="19" t="s">
        <v>6</v>
      </c>
    </row>
    <row r="10" spans="1:5" ht="15" thickBot="1" x14ac:dyDescent="0.4">
      <c r="A10" s="12" t="s">
        <v>7</v>
      </c>
      <c r="B10" s="16" t="s">
        <v>42</v>
      </c>
    </row>
    <row r="11" spans="1:5" ht="15" thickBot="1" x14ac:dyDescent="0.4">
      <c r="A11" s="15" t="s">
        <v>9</v>
      </c>
      <c r="B11" s="17">
        <v>46119</v>
      </c>
    </row>
    <row r="12" spans="1:5" ht="15" thickBot="1" x14ac:dyDescent="0.4">
      <c r="A12" s="15" t="s">
        <v>10</v>
      </c>
      <c r="B12" s="4" t="s">
        <v>34</v>
      </c>
    </row>
    <row r="13" spans="1:5" ht="15" thickBot="1" x14ac:dyDescent="0.4">
      <c r="A13" s="15" t="s">
        <v>12</v>
      </c>
      <c r="B13" s="16" t="s">
        <v>13</v>
      </c>
    </row>
    <row r="14" spans="1:5" x14ac:dyDescent="0.35">
      <c r="A14" s="20" t="s">
        <v>14</v>
      </c>
      <c r="B14" s="21" t="s">
        <v>15</v>
      </c>
    </row>
    <row r="15" spans="1:5" x14ac:dyDescent="0.35">
      <c r="A15" s="5"/>
    </row>
    <row r="16" spans="1:5" ht="15" thickBot="1" x14ac:dyDescent="0.4">
      <c r="A16" s="18" t="s">
        <v>16</v>
      </c>
      <c r="B16" s="25" t="s">
        <v>17</v>
      </c>
      <c r="C16" s="25" t="s">
        <v>18</v>
      </c>
      <c r="D16" s="25" t="s">
        <v>19</v>
      </c>
      <c r="E16" s="19" t="s">
        <v>20</v>
      </c>
    </row>
    <row r="17" spans="1:5" ht="15" thickBot="1" x14ac:dyDescent="0.4">
      <c r="A17" s="23" t="s">
        <v>21</v>
      </c>
      <c r="B17" s="8">
        <v>8528</v>
      </c>
      <c r="C17" s="8">
        <v>500</v>
      </c>
      <c r="D17" s="8">
        <v>120</v>
      </c>
      <c r="E17" s="24">
        <v>6000</v>
      </c>
    </row>
    <row r="18" spans="1:5" ht="15" thickBot="1" x14ac:dyDescent="0.4">
      <c r="A18" s="13" t="s">
        <v>22</v>
      </c>
      <c r="B18" s="8">
        <v>8471</v>
      </c>
      <c r="C18" s="8">
        <v>1000</v>
      </c>
      <c r="D18" s="8">
        <v>20</v>
      </c>
      <c r="E18" s="24">
        <v>2000</v>
      </c>
    </row>
    <row r="19" spans="1:5" x14ac:dyDescent="0.35">
      <c r="A19" s="14" t="s">
        <v>23</v>
      </c>
      <c r="B19" s="26">
        <v>8523</v>
      </c>
      <c r="C19" s="26">
        <v>2000</v>
      </c>
      <c r="D19" s="26">
        <v>10</v>
      </c>
      <c r="E19" s="27">
        <v>2000</v>
      </c>
    </row>
    <row r="20" spans="1:5" ht="15" thickBot="1" x14ac:dyDescent="0.4">
      <c r="A20" s="5"/>
    </row>
    <row r="21" spans="1:5" ht="15" thickBot="1" x14ac:dyDescent="0.4">
      <c r="A21" s="6" t="s">
        <v>24</v>
      </c>
      <c r="B21" s="6" t="s">
        <v>25</v>
      </c>
    </row>
    <row r="22" spans="1:5" ht="15" thickBot="1" x14ac:dyDescent="0.4">
      <c r="A22" s="9" t="s">
        <v>26</v>
      </c>
      <c r="B22" s="10">
        <v>10000</v>
      </c>
    </row>
    <row r="23" spans="1:5" ht="15" thickBot="1" x14ac:dyDescent="0.4">
      <c r="A23" s="9" t="s">
        <v>27</v>
      </c>
      <c r="B23" s="9">
        <v>500</v>
      </c>
    </row>
    <row r="24" spans="1:5" ht="15" thickBot="1" x14ac:dyDescent="0.4">
      <c r="A24" s="7" t="s">
        <v>28</v>
      </c>
      <c r="B24" s="11">
        <v>10500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DD94-3080-4CA8-8F17-3CD8A01B1955}">
  <dimension ref="A1:E24"/>
  <sheetViews>
    <sheetView workbookViewId="0">
      <selection activeCell="A16" sqref="A16:E19"/>
    </sheetView>
  </sheetViews>
  <sheetFormatPr defaultRowHeight="14.5" x14ac:dyDescent="0.35"/>
  <cols>
    <col min="1" max="1" width="32" bestFit="1" customWidth="1"/>
    <col min="2" max="2" width="37.26953125" bestFit="1" customWidth="1"/>
    <col min="3" max="3" width="10.54296875" customWidth="1"/>
    <col min="4" max="4" width="17.90625" customWidth="1"/>
    <col min="5" max="5" width="18.90625" customWidth="1"/>
  </cols>
  <sheetData>
    <row r="1" spans="1:5" ht="16.5" x14ac:dyDescent="0.35">
      <c r="A1" s="1" t="s">
        <v>0</v>
      </c>
    </row>
    <row r="2" spans="1:5" ht="16.5" x14ac:dyDescent="0.35">
      <c r="A2" s="1" t="s">
        <v>1</v>
      </c>
    </row>
    <row r="4" spans="1:5" ht="15.5" x14ac:dyDescent="0.35">
      <c r="A4" s="2" t="s">
        <v>2</v>
      </c>
    </row>
    <row r="6" spans="1:5" ht="15.5" x14ac:dyDescent="0.35">
      <c r="A6" s="3" t="s">
        <v>3</v>
      </c>
    </row>
    <row r="7" spans="1:5" x14ac:dyDescent="0.35">
      <c r="A7" s="4" t="s">
        <v>35</v>
      </c>
    </row>
    <row r="8" spans="1:5" x14ac:dyDescent="0.35">
      <c r="A8" s="5"/>
    </row>
    <row r="9" spans="1:5" ht="15" thickBot="1" x14ac:dyDescent="0.4">
      <c r="A9" s="18" t="s">
        <v>5</v>
      </c>
      <c r="B9" s="19" t="s">
        <v>6</v>
      </c>
    </row>
    <row r="10" spans="1:5" ht="15" thickBot="1" x14ac:dyDescent="0.4">
      <c r="A10" s="12" t="s">
        <v>7</v>
      </c>
      <c r="B10" s="16" t="s">
        <v>43</v>
      </c>
    </row>
    <row r="11" spans="1:5" ht="15" thickBot="1" x14ac:dyDescent="0.4">
      <c r="A11" s="15" t="s">
        <v>9</v>
      </c>
      <c r="B11" s="17">
        <v>46119</v>
      </c>
    </row>
    <row r="12" spans="1:5" ht="15" thickBot="1" x14ac:dyDescent="0.4">
      <c r="A12" s="15" t="s">
        <v>10</v>
      </c>
      <c r="B12" s="4" t="s">
        <v>35</v>
      </c>
    </row>
    <row r="13" spans="1:5" ht="15" thickBot="1" x14ac:dyDescent="0.4">
      <c r="A13" s="15" t="s">
        <v>12</v>
      </c>
      <c r="B13" s="16" t="s">
        <v>13</v>
      </c>
    </row>
    <row r="14" spans="1:5" x14ac:dyDescent="0.35">
      <c r="A14" s="20" t="s">
        <v>14</v>
      </c>
      <c r="B14" s="21" t="s">
        <v>15</v>
      </c>
    </row>
    <row r="15" spans="1:5" x14ac:dyDescent="0.35">
      <c r="A15" s="5"/>
    </row>
    <row r="16" spans="1:5" ht="15" thickBot="1" x14ac:dyDescent="0.4">
      <c r="A16" s="18" t="s">
        <v>16</v>
      </c>
      <c r="B16" s="25" t="s">
        <v>17</v>
      </c>
      <c r="C16" s="25" t="s">
        <v>18</v>
      </c>
      <c r="D16" s="25" t="s">
        <v>19</v>
      </c>
      <c r="E16" s="19" t="s">
        <v>20</v>
      </c>
    </row>
    <row r="17" spans="1:5" ht="15" thickBot="1" x14ac:dyDescent="0.4">
      <c r="A17" s="23" t="s">
        <v>21</v>
      </c>
      <c r="B17" s="8">
        <v>8528</v>
      </c>
      <c r="C17" s="8">
        <v>77</v>
      </c>
      <c r="D17" s="8">
        <v>120</v>
      </c>
      <c r="E17" s="24">
        <v>6000</v>
      </c>
    </row>
    <row r="18" spans="1:5" ht="15" thickBot="1" x14ac:dyDescent="0.4">
      <c r="A18" s="13" t="s">
        <v>22</v>
      </c>
      <c r="B18" s="8">
        <v>8471</v>
      </c>
      <c r="C18" s="8">
        <v>201</v>
      </c>
      <c r="D18" s="8">
        <v>20</v>
      </c>
      <c r="E18" s="24">
        <v>2000</v>
      </c>
    </row>
    <row r="19" spans="1:5" x14ac:dyDescent="0.35">
      <c r="A19" s="14" t="s">
        <v>23</v>
      </c>
      <c r="B19" s="26">
        <v>8523</v>
      </c>
      <c r="C19" s="26">
        <v>800</v>
      </c>
      <c r="D19" s="26">
        <v>10</v>
      </c>
      <c r="E19" s="27">
        <v>2000</v>
      </c>
    </row>
    <row r="20" spans="1:5" ht="15" thickBot="1" x14ac:dyDescent="0.4">
      <c r="A20" s="5"/>
    </row>
    <row r="21" spans="1:5" ht="15" thickBot="1" x14ac:dyDescent="0.4">
      <c r="A21" s="6" t="s">
        <v>24</v>
      </c>
      <c r="B21" s="6" t="s">
        <v>25</v>
      </c>
    </row>
    <row r="22" spans="1:5" ht="15" thickBot="1" x14ac:dyDescent="0.4">
      <c r="A22" s="9" t="s">
        <v>26</v>
      </c>
      <c r="B22" s="10">
        <v>10000</v>
      </c>
    </row>
    <row r="23" spans="1:5" ht="15" thickBot="1" x14ac:dyDescent="0.4">
      <c r="A23" s="9" t="s">
        <v>27</v>
      </c>
      <c r="B23" s="9">
        <v>500</v>
      </c>
    </row>
    <row r="24" spans="1:5" ht="15" thickBot="1" x14ac:dyDescent="0.4">
      <c r="A24" s="7" t="s">
        <v>28</v>
      </c>
      <c r="B24" s="11">
        <v>10500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6A8C-2259-489B-9478-6352A5AB8370}">
  <dimension ref="A1:E24"/>
  <sheetViews>
    <sheetView topLeftCell="A5" workbookViewId="0">
      <selection activeCell="A10" sqref="A10"/>
    </sheetView>
  </sheetViews>
  <sheetFormatPr defaultRowHeight="14.5" x14ac:dyDescent="0.35"/>
  <cols>
    <col min="1" max="1" width="32" bestFit="1" customWidth="1"/>
    <col min="2" max="2" width="31.453125" customWidth="1"/>
    <col min="3" max="3" width="10.54296875" customWidth="1"/>
    <col min="4" max="4" width="17.90625" customWidth="1"/>
    <col min="5" max="5" width="18.90625" customWidth="1"/>
  </cols>
  <sheetData>
    <row r="1" spans="1:5" ht="16.5" x14ac:dyDescent="0.35">
      <c r="A1" s="1" t="s">
        <v>0</v>
      </c>
    </row>
    <row r="2" spans="1:5" ht="16.5" x14ac:dyDescent="0.35">
      <c r="A2" s="1" t="s">
        <v>1</v>
      </c>
    </row>
    <row r="4" spans="1:5" ht="15.5" x14ac:dyDescent="0.35">
      <c r="A4" s="2" t="s">
        <v>2</v>
      </c>
    </row>
    <row r="6" spans="1:5" ht="15.5" x14ac:dyDescent="0.35">
      <c r="A6" s="3" t="s">
        <v>3</v>
      </c>
    </row>
    <row r="7" spans="1:5" x14ac:dyDescent="0.35">
      <c r="A7" s="4" t="s">
        <v>36</v>
      </c>
    </row>
    <row r="8" spans="1:5" x14ac:dyDescent="0.35">
      <c r="A8" s="5"/>
    </row>
    <row r="9" spans="1:5" ht="15" thickBot="1" x14ac:dyDescent="0.4">
      <c r="A9" s="18" t="s">
        <v>5</v>
      </c>
      <c r="B9" s="19" t="s">
        <v>6</v>
      </c>
    </row>
    <row r="10" spans="1:5" ht="15" thickBot="1" x14ac:dyDescent="0.4">
      <c r="A10" s="12" t="s">
        <v>7</v>
      </c>
      <c r="B10" s="16" t="s">
        <v>44</v>
      </c>
    </row>
    <row r="11" spans="1:5" ht="15" thickBot="1" x14ac:dyDescent="0.4">
      <c r="A11" s="15" t="s">
        <v>9</v>
      </c>
      <c r="B11" s="17">
        <v>46129</v>
      </c>
    </row>
    <row r="12" spans="1:5" ht="15" thickBot="1" x14ac:dyDescent="0.4">
      <c r="A12" s="15" t="s">
        <v>10</v>
      </c>
      <c r="B12" s="4" t="s">
        <v>36</v>
      </c>
    </row>
    <row r="13" spans="1:5" ht="15" thickBot="1" x14ac:dyDescent="0.4">
      <c r="A13" s="15" t="s">
        <v>12</v>
      </c>
      <c r="B13" s="16" t="s">
        <v>13</v>
      </c>
    </row>
    <row r="14" spans="1:5" x14ac:dyDescent="0.35">
      <c r="A14" s="20" t="s">
        <v>14</v>
      </c>
      <c r="B14" s="21" t="s">
        <v>15</v>
      </c>
    </row>
    <row r="15" spans="1:5" x14ac:dyDescent="0.35">
      <c r="A15" s="5"/>
    </row>
    <row r="16" spans="1:5" ht="15" thickBot="1" x14ac:dyDescent="0.4">
      <c r="A16" s="18" t="s">
        <v>16</v>
      </c>
      <c r="B16" s="25" t="s">
        <v>17</v>
      </c>
      <c r="C16" s="25" t="s">
        <v>18</v>
      </c>
      <c r="D16" s="25" t="s">
        <v>19</v>
      </c>
      <c r="E16" s="19" t="s">
        <v>20</v>
      </c>
    </row>
    <row r="17" spans="1:5" ht="15" thickBot="1" x14ac:dyDescent="0.4">
      <c r="A17" s="23" t="s">
        <v>21</v>
      </c>
      <c r="B17" s="8">
        <v>8528</v>
      </c>
      <c r="C17" s="8">
        <v>50</v>
      </c>
      <c r="D17" s="8">
        <v>120</v>
      </c>
      <c r="E17" s="24">
        <v>6000</v>
      </c>
    </row>
    <row r="18" spans="1:5" ht="15" thickBot="1" x14ac:dyDescent="0.4">
      <c r="A18" s="13" t="s">
        <v>22</v>
      </c>
      <c r="B18" s="8">
        <v>8471</v>
      </c>
      <c r="C18" s="8">
        <v>100</v>
      </c>
      <c r="D18" s="8">
        <v>20</v>
      </c>
      <c r="E18" s="24">
        <v>2000</v>
      </c>
    </row>
    <row r="19" spans="1:5" x14ac:dyDescent="0.35">
      <c r="A19" s="14" t="s">
        <v>23</v>
      </c>
      <c r="B19" s="26">
        <v>8523</v>
      </c>
      <c r="C19" s="26">
        <v>200</v>
      </c>
      <c r="D19" s="26">
        <v>10</v>
      </c>
      <c r="E19" s="27">
        <v>2000</v>
      </c>
    </row>
    <row r="20" spans="1:5" ht="15" thickBot="1" x14ac:dyDescent="0.4">
      <c r="A20" s="5"/>
    </row>
    <row r="21" spans="1:5" ht="15" thickBot="1" x14ac:dyDescent="0.4">
      <c r="A21" s="6" t="s">
        <v>24</v>
      </c>
      <c r="B21" s="6" t="s">
        <v>25</v>
      </c>
    </row>
    <row r="22" spans="1:5" ht="15" thickBot="1" x14ac:dyDescent="0.4">
      <c r="A22" s="9" t="s">
        <v>26</v>
      </c>
      <c r="B22" s="10">
        <v>10000</v>
      </c>
    </row>
    <row r="23" spans="1:5" ht="15" thickBot="1" x14ac:dyDescent="0.4">
      <c r="A23" s="9" t="s">
        <v>27</v>
      </c>
      <c r="B23" s="9">
        <v>500</v>
      </c>
    </row>
    <row r="24" spans="1:5" ht="15" thickBot="1" x14ac:dyDescent="0.4">
      <c r="A24" s="7" t="s">
        <v>28</v>
      </c>
      <c r="B24" s="11">
        <v>10500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5A6846-D8BA-42BE-99ED-FEA61AE50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AUTOMATIC</vt:lpstr>
      <vt:lpstr>products</vt:lpstr>
      <vt:lpstr>Query1</vt:lpstr>
      <vt:lpstr>Invoice 1</vt:lpstr>
      <vt:lpstr>Invoice 4</vt:lpstr>
      <vt:lpstr>Invoice 2</vt:lpstr>
      <vt:lpstr>Invoice 3</vt:lpstr>
      <vt:lpstr>Invoice 5</vt:lpstr>
      <vt:lpstr>Invoice 6</vt:lpstr>
      <vt:lpstr>Invoice 7</vt:lpstr>
      <vt:lpstr>Invoice 9</vt:lpstr>
      <vt:lpstr>Invoice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Devgun</dc:creator>
  <cp:lastModifiedBy>Simran Devgun</cp:lastModifiedBy>
  <dcterms:created xsi:type="dcterms:W3CDTF">2026-04-01T13:43:54Z</dcterms:created>
  <dcterms:modified xsi:type="dcterms:W3CDTF">2026-04-05T07:00:35Z</dcterms:modified>
</cp:coreProperties>
</file>